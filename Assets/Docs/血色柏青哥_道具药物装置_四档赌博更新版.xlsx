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UnityProjects\MarbleRoguelikeGame\Assets\Docs\"/>
    </mc:Choice>
  </mc:AlternateContent>
  <xr:revisionPtr revIDLastSave="0" documentId="13_ncr:1_{62B6131F-A598-486C-A100-E91A9BCDC1CC}" xr6:coauthVersionLast="47" xr6:coauthVersionMax="47" xr10:uidLastSave="{00000000-0000-0000-0000-000000000000}"/>
  <bookViews>
    <workbookView xWindow="-110" yWindow="-110" windowWidth="38620" windowHeight="21100" xr2:uid="{00000000-000D-0000-FFFF-FFFF00000000}"/>
  </bookViews>
  <sheets>
    <sheet name="00_ATTRIBUTE_DICTIONARY (2)" sheetId="4" r:id="rId1"/>
    <sheet name="设计总表" sheetId="5" r:id="rId2"/>
    <sheet name="效果参数" sheetId="6" r:id="rId3"/>
    <sheet name="属性扩展" sheetId="7" r:id="rId4"/>
    <sheet name="分类与使用说明" sheetId="8" r:id="rId5"/>
    <sheet name="流程与规则" sheetId="9" r:id="rId6"/>
    <sheet name="平衡沙盘" sheetId="1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7" i="10" l="1"/>
  <c r="B16" i="10"/>
  <c r="D14" i="10"/>
  <c r="C14" i="10"/>
  <c r="B14" i="10"/>
  <c r="E14" i="10" s="1"/>
  <c r="E13" i="10"/>
  <c r="E12" i="10"/>
  <c r="E11" i="10"/>
  <c r="E10" i="10"/>
  <c r="E9" i="10"/>
  <c r="E8" i="10"/>
  <c r="E7" i="10"/>
  <c r="E6" i="10"/>
  <c r="E5" i="10"/>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H4" i="4"/>
  <c r="E4" i="4"/>
  <c r="B4" i="4"/>
  <c r="E16" i="10" l="1"/>
  <c r="E15" i="10"/>
</calcChain>
</file>

<file path=xl/sharedStrings.xml><?xml version="1.0" encoding="utf-8"?>
<sst xmlns="http://schemas.openxmlformats.org/spreadsheetml/2006/main" count="1673" uniqueCount="982">
  <si>
    <t>《血色柏青哥》属性字典 / ATTRIBUTE SCHEMA</t>
  </si>
  <si>
    <t>唯一数据源：黄色为策划输入，蓝色为自动校验。三张内容表通过 Attribute_ID 与稀有度预算基线关联。</t>
  </si>
  <si>
    <t>属性数</t>
  </si>
  <si>
    <t>已废弃</t>
  </si>
  <si>
    <t>范围异常</t>
  </si>
  <si>
    <t>Rarity</t>
  </si>
  <si>
    <t>Power_Budget</t>
  </si>
  <si>
    <t>Attribute_ID</t>
  </si>
  <si>
    <t>Display_Name_CN</t>
  </si>
  <si>
    <t>Display_Name_EN</t>
  </si>
  <si>
    <t>Category</t>
  </si>
  <si>
    <t>Unit</t>
  </si>
  <si>
    <t>Default_Value</t>
  </si>
  <si>
    <t>Min_Value</t>
  </si>
  <si>
    <t>Max_Value</t>
  </si>
  <si>
    <t>Allowed_Operators</t>
  </si>
  <si>
    <t>Stack_Rule</t>
  </si>
  <si>
    <t>Applies_To</t>
  </si>
  <si>
    <t>Stack_Order</t>
  </si>
  <si>
    <t>Designer_Range</t>
  </si>
  <si>
    <t>Warning_Value</t>
  </si>
  <si>
    <t>Formula_or_Rule</t>
  </si>
  <si>
    <t>Debug_Name</t>
  </si>
  <si>
    <t>Deprecated</t>
  </si>
  <si>
    <t>Description</t>
  </si>
  <si>
    <t>Design_Note</t>
  </si>
  <si>
    <t>Data_Status</t>
  </si>
  <si>
    <t>Range_Check</t>
  </si>
  <si>
    <t>说明</t>
  </si>
  <si>
    <t>用于三张内容表的强度预算上限</t>
  </si>
  <si>
    <t>BLOOD_COST</t>
  </si>
  <si>
    <t>单球血液成本</t>
  </si>
  <si>
    <t>Blood Cost</t>
  </si>
  <si>
    <t>Economy</t>
  </si>
  <si>
    <t>Blood</t>
  </si>
  <si>
    <t>ADD,MUL,SET</t>
  </si>
  <si>
    <t>MUL→ADD→CLAMP</t>
  </si>
  <si>
    <t>Ball,Drug,Item</t>
  </si>
  <si>
    <t>0.5–8</t>
  </si>
  <si>
    <t>用于制造一颗/一批弹珠的血液本金</t>
  </si>
  <si>
    <t>blood_cost</t>
  </si>
  <si>
    <t>No</t>
  </si>
  <si>
    <t>降低会直接提高血液效率。</t>
  </si>
  <si>
    <t>与 Spawn_Count、Base_Value 联合评估。</t>
  </si>
  <si>
    <t>Approved</t>
  </si>
  <si>
    <t>Common</t>
  </si>
  <si>
    <t>BLOOD_DIVIDEND_RATE</t>
  </si>
  <si>
    <t>剩余血液兑换率</t>
  </si>
  <si>
    <t>Blood Dividend Rate</t>
  </si>
  <si>
    <t>ratio</t>
  </si>
  <si>
    <t>ADD→MUL→CLAMP</t>
  </si>
  <si>
    <t>Item,Global</t>
  </si>
  <si>
    <t>0.8–1.5</t>
  </si>
  <si>
    <t>Cash Out 时剩余血液兑换金币的倍率</t>
  </si>
  <si>
    <t>blood_dividend_rate</t>
  </si>
  <si>
    <t>影响稳健提现流的经济收益。</t>
  </si>
  <si>
    <t>不应压过越级收益。</t>
  </si>
  <si>
    <t>Testing</t>
  </si>
  <si>
    <t>Uncommon</t>
  </si>
  <si>
    <t>Drug,Item,Global</t>
  </si>
  <si>
    <t>0.7–1.8</t>
  </si>
  <si>
    <t>Concept</t>
  </si>
  <si>
    <t>Rare</t>
  </si>
  <si>
    <t>0.5–2.0</t>
  </si>
  <si>
    <t>Epic</t>
  </si>
  <si>
    <t>BALL_SPAWN_COUNT</t>
  </si>
  <si>
    <t>单次生成数量</t>
  </si>
  <si>
    <t>Ball Spawn Count</t>
  </si>
  <si>
    <t>count</t>
  </si>
  <si>
    <t>1–12</t>
  </si>
  <si>
    <t>ball_spawn_count</t>
  </si>
  <si>
    <t>高频触发构筑的核心参数。</t>
  </si>
  <si>
    <t>必须纳入血液效率。</t>
  </si>
  <si>
    <t>Legendary</t>
  </si>
  <si>
    <t>BALL_BASE_VALUE</t>
  </si>
  <si>
    <t>弹珠基础价值</t>
  </si>
  <si>
    <t>Ball Base Value</t>
  </si>
  <si>
    <t>Score</t>
  </si>
  <si>
    <t>4–120</t>
  </si>
  <si>
    <t>Final Score 第一层：Ball Value</t>
  </si>
  <si>
    <t>ball_base_value</t>
  </si>
  <si>
    <t>单球未经过机器与全局倍率前的分值。</t>
  </si>
  <si>
    <t>避免新增独立乘区。</t>
  </si>
  <si>
    <t>BALL_GAMBLE_VALUE_MOD</t>
  </si>
  <si>
    <t>赌博池价值修正</t>
  </si>
  <si>
    <t>Ball Gamble Value Modifier</t>
  </si>
  <si>
    <t>Gamble</t>
  </si>
  <si>
    <t>x</t>
  </si>
  <si>
    <t>0.5–1.8</t>
  </si>
  <si>
    <t>弹珠进入 Gamble Pot 时的价值倍率</t>
  </si>
  <si>
    <t>ball_gamble_value_mod</t>
  </si>
  <si>
    <t>只改变赌注价值，不改变基础概率。</t>
  </si>
  <si>
    <t>与 GAMBLE_BASE_EV 分开。</t>
  </si>
  <si>
    <t>BALL_RUSH_GAIN</t>
  </si>
  <si>
    <t>单球RUSH贡献</t>
  </si>
  <si>
    <t>Ball Rush Gain</t>
  </si>
  <si>
    <t>RUSH</t>
  </si>
  <si>
    <t>unit</t>
  </si>
  <si>
    <t>0–8</t>
  </si>
  <si>
    <t>每颗弹珠对 RUSH 槽的基础贡献</t>
  </si>
  <si>
    <t>ball_rush_gain</t>
  </si>
  <si>
    <t>多球流会放大该属性。</t>
  </si>
  <si>
    <t>结合触发频率评估。</t>
  </si>
  <si>
    <t>BALL_RADIUS</t>
  </si>
  <si>
    <t>弹珠半径</t>
  </si>
  <si>
    <t>Ball Radius</t>
  </si>
  <si>
    <t>BallPhysics</t>
  </si>
  <si>
    <t>0.3–1.0</t>
  </si>
  <si>
    <t>物理碰撞半径</t>
  </si>
  <si>
    <t>ball_radius</t>
  </si>
  <si>
    <t>会改变路线可达性与卡槽风险。</t>
  </si>
  <si>
    <t>需在原型场景实测。</t>
  </si>
  <si>
    <t>BALL_MASS</t>
  </si>
  <si>
    <t>弹珠质量</t>
  </si>
  <si>
    <t>Ball Mass</t>
  </si>
  <si>
    <t>kg</t>
  </si>
  <si>
    <t>0.5–4.0</t>
  </si>
  <si>
    <t>刚体质量</t>
  </si>
  <si>
    <t>ball_mass</t>
  </si>
  <si>
    <t>影响碰撞与加速反应。</t>
  </si>
  <si>
    <t>Unity/Godot 单位需统一。</t>
  </si>
  <si>
    <t>BALL_BOUNCE</t>
  </si>
  <si>
    <t>弹性</t>
  </si>
  <si>
    <t>Ball Bounce</t>
  </si>
  <si>
    <t>0.2–1.2</t>
  </si>
  <si>
    <t>碰撞后的速度保留与反弹程度</t>
  </si>
  <si>
    <t>ball_bounce</t>
  </si>
  <si>
    <t>过高可能导致无限弹跳。</t>
  </si>
  <si>
    <t>与最大速度联合限制。</t>
  </si>
  <si>
    <t>BALL_FRICTION</t>
  </si>
  <si>
    <t>摩擦</t>
  </si>
  <si>
    <t>Ball Friction</t>
  </si>
  <si>
    <t>0.05–0.8</t>
  </si>
  <si>
    <t>接触面速度衰减</t>
  </si>
  <si>
    <t>ball_friction</t>
  </si>
  <si>
    <t>过低会增加失控与长尾结算。</t>
  </si>
  <si>
    <t>检查回合清场时间。</t>
  </si>
  <si>
    <t>BALL_GRAVITY_MOD</t>
  </si>
  <si>
    <t>重力修正</t>
  </si>
  <si>
    <t>Ball Gravity Modifier</t>
  </si>
  <si>
    <t>弹珠承受的重力倍率</t>
  </si>
  <si>
    <t>ball_gravity_mod</t>
  </si>
  <si>
    <t>改变下落时间与路线。</t>
  </si>
  <si>
    <t>避免 0 重力导致不结算。</t>
  </si>
  <si>
    <t>BALL_LAUNCH_SPEED</t>
  </si>
  <si>
    <t>发射速度</t>
  </si>
  <si>
    <t>Ball Launch Speed</t>
  </si>
  <si>
    <t>初始发射速度倍率</t>
  </si>
  <si>
    <t>ball_launch_speed</t>
  </si>
  <si>
    <t>影响路线、命中率与速度计分。</t>
  </si>
  <si>
    <t>与 Max Speed 分开。</t>
  </si>
  <si>
    <t>BALL_MAX_SPEED</t>
  </si>
  <si>
    <t>最大速度</t>
  </si>
  <si>
    <t>Ball Max Speed</t>
  </si>
  <si>
    <t>unit/s</t>
  </si>
  <si>
    <t>8–30</t>
  </si>
  <si>
    <t>物理速度上限</t>
  </si>
  <si>
    <t>ball_max_speed</t>
  </si>
  <si>
    <t>用于限制高弹与加速连锁。</t>
  </si>
  <si>
    <t>高帧率下也需验证。</t>
  </si>
  <si>
    <t>BALL_MAGNET_RESPONSE</t>
  </si>
  <si>
    <t>磁力响应</t>
  </si>
  <si>
    <t>Ball Magnet Response</t>
  </si>
  <si>
    <t>0–3</t>
  </si>
  <si>
    <t>受到磁性装置影响的倍率</t>
  </si>
  <si>
    <t>ball_magnet_response</t>
  </si>
  <si>
    <t>0 表示免疫磁力。</t>
  </si>
  <si>
    <t>检查吸附死锁。</t>
  </si>
  <si>
    <t>BALL_LIFETIME</t>
  </si>
  <si>
    <t>生命周期</t>
  </si>
  <si>
    <t>Ball Lifetime</t>
  </si>
  <si>
    <t>sec</t>
  </si>
  <si>
    <t>10–60</t>
  </si>
  <si>
    <t>弹珠被强制清除前的存活时间</t>
  </si>
  <si>
    <t>ball_lifetime</t>
  </si>
  <si>
    <t>限制无法结算的异常路径。</t>
  </si>
  <si>
    <t>不要用来掩盖关卡卡死。</t>
  </si>
  <si>
    <t>BALL_SPLIT_COUNT</t>
  </si>
  <si>
    <t>分裂数量</t>
  </si>
  <si>
    <t>Ball Split Count</t>
  </si>
  <si>
    <t>ADD,SET</t>
  </si>
  <si>
    <t>ADD→CLAMP</t>
  </si>
  <si>
    <t>0–4</t>
  </si>
  <si>
    <t>触发分裂时生成的子球数量</t>
  </si>
  <si>
    <t>ball_split_count</t>
  </si>
  <si>
    <t>必须与克隆价值保留率联算。</t>
  </si>
  <si>
    <t>关注指数增长。</t>
  </si>
  <si>
    <t>BALL_CLONE_VALUE_RETENTION</t>
  </si>
  <si>
    <t>克隆价值保留率</t>
  </si>
  <si>
    <t>Clone Value Retention</t>
  </si>
  <si>
    <t>%</t>
  </si>
  <si>
    <t>30%–80%</t>
  </si>
  <si>
    <t>子球继承母球价值的比例</t>
  </si>
  <si>
    <t>ball_clone_value_retention</t>
  </si>
  <si>
    <t>与 Split_Count 共同决定总价值。</t>
  </si>
  <si>
    <t>上限应低于 100%。</t>
  </si>
  <si>
    <t>BALL_PIERCE_COUNT</t>
  </si>
  <si>
    <t>穿透次数</t>
  </si>
  <si>
    <t>Ball Pierce Count</t>
  </si>
  <si>
    <t>无视阻挡或连续触发的次数</t>
  </si>
  <si>
    <t>ball_pierce_count</t>
  </si>
  <si>
    <t>可能绕过装置冷却。</t>
  </si>
  <si>
    <t>需定义可穿透对象集合。</t>
  </si>
  <si>
    <t>MACHINE_MULT</t>
  </si>
  <si>
    <t>机器倍率</t>
  </si>
  <si>
    <t>Machine Multiplier</t>
  </si>
  <si>
    <t>Item,Device,Global</t>
  </si>
  <si>
    <t>1.0–5.0</t>
  </si>
  <si>
    <t>Final Score 第二层：Machine Mult</t>
  </si>
  <si>
    <t>machine_mult</t>
  </si>
  <si>
    <t>应由物理路线与装置形成。</t>
  </si>
  <si>
    <t>避免把所有装置都做成倍率。</t>
  </si>
  <si>
    <t>GLOBAL_MULT</t>
  </si>
  <si>
    <t>全局倍率</t>
  </si>
  <si>
    <t>Global Multiplier</t>
  </si>
  <si>
    <t>1.0–3.0</t>
  </si>
  <si>
    <t>Final Score 第三层：Global State</t>
  </si>
  <si>
    <t>global_mult</t>
  </si>
  <si>
    <t>主要由 RUSH 或特殊状态提供。</t>
  </si>
  <si>
    <t>严格限制独立乘区数量。</t>
  </si>
  <si>
    <t>SCORE_BY_SPEED</t>
  </si>
  <si>
    <t>速度计分加成</t>
  </si>
  <si>
    <t>Score by Speed</t>
  </si>
  <si>
    <t>Ball,Item</t>
  </si>
  <si>
    <t>0%–40%</t>
  </si>
  <si>
    <t>按速度区间对 Ball Value 追加加成</t>
  </si>
  <si>
    <t>score_by_speed</t>
  </si>
  <si>
    <t>鼓励高速路线与精准发射。</t>
  </si>
  <si>
    <t>明确速度采样时点。</t>
  </si>
  <si>
    <t>SCORE_OVERKILL_RATE</t>
  </si>
  <si>
    <t>超额收益转化率</t>
  </si>
  <si>
    <t>Overkill Conversion Rate</t>
  </si>
  <si>
    <t>Overkill Score 转化为奖励的倍率</t>
  </si>
  <si>
    <t>score_overkill_rate</t>
  </si>
  <si>
    <t>增强继续下注的回报。</t>
  </si>
  <si>
    <t>不能消除 Cash Out 风险。</t>
  </si>
  <si>
    <t>RUSH_DURATION</t>
  </si>
  <si>
    <t>RUSH持续时间</t>
  </si>
  <si>
    <t>Rush Duration</t>
  </si>
  <si>
    <t>6–30</t>
  </si>
  <si>
    <t>一次 RUSH 的基础持续时间</t>
  </si>
  <si>
    <t>rush_duration</t>
  </si>
  <si>
    <t>影响爆发窗口与输入节奏。</t>
  </si>
  <si>
    <t>接近永久 RUSH 时预警。</t>
  </si>
  <si>
    <t>RUSH_MULT</t>
  </si>
  <si>
    <t>RUSH得分倍率</t>
  </si>
  <si>
    <t>Rush Multiplier</t>
  </si>
  <si>
    <t>1.5–4.0</t>
  </si>
  <si>
    <t>RUSH 状态下的 Global Mult</t>
  </si>
  <si>
    <t>rush_mult</t>
  </si>
  <si>
    <t>主要情绪高潮倍率。</t>
  </si>
  <si>
    <t>不要与其他全局倍率无限相乘。</t>
  </si>
  <si>
    <t>RUSH_DECAY</t>
  </si>
  <si>
    <t>RUSH衰减速度</t>
  </si>
  <si>
    <t>Rush Decay</t>
  </si>
  <si>
    <t>RUSH 槽或持续时间的衰减速率</t>
  </si>
  <si>
    <t>rush_decay</t>
  </si>
  <si>
    <t>降低衰减等价于延长爆发。</t>
  </si>
  <si>
    <t>与 Duration 合并评估。</t>
  </si>
  <si>
    <t>SET</t>
  </si>
  <si>
    <t>GAMBLE_LOSS_CHANCE</t>
  </si>
  <si>
    <t>全损概率</t>
  </si>
  <si>
    <t>Gamble Loss Chance</t>
  </si>
  <si>
    <t>20%–60%</t>
  </si>
  <si>
    <t>最终赌博结果为 ×0 的概率</t>
  </si>
  <si>
    <t>gamble_loss_chance</t>
  </si>
  <si>
    <t>需与其他结果概率合计为 100%。</t>
  </si>
  <si>
    <t>由独立概率校验负责总和。</t>
  </si>
  <si>
    <t>GAMBLE_RETURN_CHANCE</t>
  </si>
  <si>
    <t>返还概率</t>
  </si>
  <si>
    <t>Gamble Return Chance</t>
  </si>
  <si>
    <t>10%–50%</t>
  </si>
  <si>
    <t>最终赌博结果为 ×1 的概率</t>
  </si>
  <si>
    <t>gamble_return_chance</t>
  </si>
  <si>
    <t>稳定赌博池波动。</t>
  </si>
  <si>
    <t>概率表在后续专表细化。</t>
  </si>
  <si>
    <t>GAMBLE_WIN_CHANCE</t>
  </si>
  <si>
    <t>双倍概率</t>
  </si>
  <si>
    <t>Gamble Win Chance</t>
  </si>
  <si>
    <t>10%–45%</t>
  </si>
  <si>
    <t>最终赌博结果为 ×2 的概率</t>
  </si>
  <si>
    <t>gamble_win_chance</t>
  </si>
  <si>
    <t>提供主要翻盘区间。</t>
  </si>
  <si>
    <t>与 Jackpot 分开。</t>
  </si>
  <si>
    <t>GAMBLE_POT_VALUE</t>
  </si>
  <si>
    <t>赌博池价值</t>
  </si>
  <si>
    <t>Gamble Pot Value</t>
  </si>
  <si>
    <t>进入 Receiver 的总价值修正</t>
  </si>
  <si>
    <t>gamble_pot_value</t>
  </si>
  <si>
    <t>改变赌注规模，不改变概率。</t>
  </si>
  <si>
    <t>与 Ball 修正按一次乘区处理。</t>
  </si>
  <si>
    <t>DEVICE_TRIGGER_RATE</t>
  </si>
  <si>
    <t>机关触发率</t>
  </si>
  <si>
    <t>Device Trigger Rate</t>
  </si>
  <si>
    <t>Device</t>
  </si>
  <si>
    <t>Ball,Drug,Item,Device</t>
  </si>
  <si>
    <t>机关可触发判定的频率修正</t>
  </si>
  <si>
    <t>device_trigger_rate</t>
  </si>
  <si>
    <t>多球流会放大总触发数。</t>
  </si>
  <si>
    <t>必须结合 Cooldown。</t>
  </si>
  <si>
    <t>DEVICE_COOLDOWN</t>
  </si>
  <si>
    <t>机关冷却</t>
  </si>
  <si>
    <t>Device Cooldown</t>
  </si>
  <si>
    <t>Drug,Item,Device</t>
  </si>
  <si>
    <t>0.1–5.0</t>
  </si>
  <si>
    <t>机关两次有效触发之间的时间</t>
  </si>
  <si>
    <t>device_cooldown</t>
  </si>
  <si>
    <t>接近 0 会造成触发风暴。</t>
  </si>
  <si>
    <t>设置最低安全值。</t>
  </si>
  <si>
    <t>DEVICE_CAPACITY</t>
  </si>
  <si>
    <t>SHOP_PRICE_MOD</t>
  </si>
  <si>
    <t>商店价格修正</t>
  </si>
  <si>
    <t>Shop Price Modifier</t>
  </si>
  <si>
    <t>0.7–1.3</t>
  </si>
  <si>
    <t>所有商店售价的全局倍率</t>
  </si>
  <si>
    <t>shop_price_mod</t>
  </si>
  <si>
    <t>强经济属性，会滚雪球。</t>
  </si>
  <si>
    <t>谨慎提供永久折扣。</t>
  </si>
  <si>
    <t>COIN_GAIN_RATE</t>
  </si>
  <si>
    <t>金币获取率</t>
  </si>
  <si>
    <t>Coin Gain Rate</t>
  </si>
  <si>
    <t>0.8–1.8</t>
  </si>
  <si>
    <t>奖励金币的全局倍率</t>
  </si>
  <si>
    <t>coin_gain_rate</t>
  </si>
  <si>
    <t>影响后续商店购买力。</t>
  </si>
  <si>
    <t>与即时强度分开评估。</t>
  </si>
  <si>
    <t>肾上腺素</t>
  </si>
  <si>
    <t>物理</t>
  </si>
  <si>
    <t>装置</t>
  </si>
  <si>
    <t>银行</t>
  </si>
  <si>
    <t>增幅塔</t>
  </si>
  <si>
    <t>离心机</t>
  </si>
  <si>
    <t>传送门</t>
  </si>
  <si>
    <t>黑色四叶草</t>
  </si>
  <si>
    <t>分流器</t>
  </si>
  <si>
    <t>设计总表</t>
  </si>
  <si>
    <t>设计ID</t>
  </si>
  <si>
    <t>规范名称</t>
  </si>
  <si>
    <t>大类</t>
  </si>
  <si>
    <t>子类</t>
  </si>
  <si>
    <t>内容来源</t>
  </si>
  <si>
    <t>原表定位</t>
  </si>
  <si>
    <t>原始构思（原文保留）</t>
  </si>
  <si>
    <t>规范效果</t>
  </si>
  <si>
    <t>触发事件</t>
  </si>
  <si>
    <t>作用目标</t>
  </si>
  <si>
    <t>持续口径</t>
  </si>
  <si>
    <t>终止条件</t>
  </si>
  <si>
    <t>叠加与次数规则</t>
  </si>
  <si>
    <t>建议稀有度</t>
  </si>
  <si>
    <t>代价或负面效果</t>
  </si>
  <si>
    <t>平衡备注</t>
  </si>
  <si>
    <t>实现备注</t>
  </si>
  <si>
    <t>开发优先级</t>
  </si>
  <si>
    <t>状态</t>
  </si>
  <si>
    <t>D001</t>
  </si>
  <si>
    <t>经济出口</t>
  </si>
  <si>
    <t>原构思规范化</t>
  </si>
  <si>
    <t>Sheet2!2</t>
  </si>
  <si>
    <t>银行；经济；弹珠进入转换为金币；金币数=取整{（价值++）*（本金1+利率20%）}</t>
  </si>
  <si>
    <t>入球消耗该球，金币=向下取整(当前价值×兑换系数×1.20)，不再得分或入筹码池</t>
  </si>
  <si>
    <t>球进入银行入口</t>
  </si>
  <si>
    <t>当前球</t>
  </si>
  <si>
    <t>即时</t>
  </si>
  <si>
    <t>入账后销毁球</t>
  </si>
  <si>
    <t>每球仅结算一次</t>
  </si>
  <si>
    <t>牺牲该球得分和赌博机会</t>
  </si>
  <si>
    <t>兑换系数建议0.10；保留原20%利率，避免价值直接等额兑换导致经济膨胀</t>
  </si>
  <si>
    <t>事务化标记已结算；金币奖励不再受COIN_GAIN_RATE二次放大</t>
  </si>
  <si>
    <t>P0</t>
  </si>
  <si>
    <t>待测试</t>
  </si>
  <si>
    <t>D002</t>
  </si>
  <si>
    <t>价值路线</t>
  </si>
  <si>
    <t>Sheet2!3</t>
  </si>
  <si>
    <t>增幅塔；价值；范围内存在20cm的增幅塔时相连通电，弹珠经过连线时价值提升；弹珠提升价值=价值*n经过次数</t>
  </si>
  <si>
    <t>两塔距离≤20cm时连线，过线价值乘1.20；</t>
  </si>
  <si>
    <t>球穿越有效连线</t>
  </si>
  <si>
    <t>球生命周期</t>
  </si>
  <si>
    <t>球结算或消失</t>
  </si>
  <si>
    <t>无限次</t>
  </si>
  <si>
    <t>占用至少两个布置位置</t>
  </si>
  <si>
    <t>原n未定义；用独立次数上限控制传送回流复利</t>
  </si>
  <si>
    <t>无向塔对ID去重；从线一侧穿到另一侧才触发</t>
  </si>
  <si>
    <t>D003</t>
  </si>
  <si>
    <t>速度路线</t>
  </si>
  <si>
    <t>Sheet2!4</t>
  </si>
  <si>
    <t>离心机；物理；弹珠进入后加速从正下方射出；弹珠速度+5</t>
  </si>
  <si>
    <t>吸入后从正下方输出，实际速度+5 unit/s并受最大速度限制</t>
  </si>
  <si>
    <t>球进入且装置冷却完毕</t>
  </si>
  <si>
    <t>输出完成</t>
  </si>
  <si>
    <t>同一装置每球最多2次</t>
  </si>
  <si>
    <t>方向固定，可能错过高价值路线</t>
  </si>
  <si>
    <t>保留+5原值；不能写入单位为倍率的BALL_LAUNCH_SPEED</t>
  </si>
  <si>
    <t>出口脱离检测；速度夹紧到BALL_MAX_SPEED</t>
  </si>
  <si>
    <t>D004</t>
  </si>
  <si>
    <t>路径控制</t>
  </si>
  <si>
    <t>Sheet2!5</t>
  </si>
  <si>
    <t>传送门；物理；每次购买为同色一对的传送门，弹珠在传送门间传送，A-&gt;B/B-&gt;A；位移（上传到下或下传到上）</t>
  </si>
  <si>
    <t>购买一对同色门，双向传送；保持速度大小，出口方向由朝向决定</t>
  </si>
  <si>
    <t>球进入已配对入口</t>
  </si>
  <si>
    <t>传送完成</t>
  </si>
  <si>
    <t>同一对每球最多2次</t>
  </si>
  <si>
    <t>两处占位，出口不保证命中收益口</t>
  </si>
  <si>
    <t>全体传送共享0.5秒球级锁，阻止多门环路</t>
  </si>
  <si>
    <t>配对ID和出口安全偏移；未配对不可启用</t>
  </si>
  <si>
    <t>D005</t>
  </si>
  <si>
    <t>RUSH概率</t>
  </si>
  <si>
    <t>Sheet2!6</t>
  </si>
  <si>
    <t>黑色四叶草；Rush；弹珠经过时，四叶草转动，提升其触发Rush的概率；Rush触发概率25%-&gt;75%</t>
  </si>
  <si>
    <t>过叶后，该球下一次有效得分结算的RUSH检定概率设为75%，结算时最多一次检定</t>
  </si>
  <si>
    <t>穿过叶片感应区</t>
  </si>
  <si>
    <t>至该球首次有效得分结算</t>
  </si>
  <si>
    <t>检定后或球消失</t>
  </si>
  <si>
    <t>重复经过不叠加、不重复检定</t>
  </si>
  <si>
    <t>占位且只强化经过的球</t>
  </si>
  <si>
    <t>保留25%到75%原案为高风险测试档；对照档45%见平衡沙盘</t>
  </si>
  <si>
    <t>按球标记概率覆写，分裂子球共享一次家族检定</t>
  </si>
  <si>
    <t>P1</t>
  </si>
  <si>
    <t>D006</t>
  </si>
  <si>
    <t>守恒分裂</t>
  </si>
  <si>
    <t>Sheet2!8</t>
  </si>
  <si>
    <t>分流器；物理+价值；将大弹珠分离成小弹珠。体积、价值对半分，两球分别从下方左右45度射出；体积V*1/2，价值*1/2，总价值不变（价值最小为1，价值为1的弹珠进入后不受影响，随机从下方左右45度射出）</t>
  </si>
  <si>
    <t>价值≥2时生成两球，价值各半、体积各半，向下左右45°出射；价值&lt;2不分裂</t>
  </si>
  <si>
    <t>球进入分流器</t>
  </si>
  <si>
    <t>当前球及两个子球</t>
  </si>
  <si>
    <t>分裂完成，母球销毁</t>
  </si>
  <si>
    <t>同一家族最多分裂2代</t>
  </si>
  <si>
    <t>小球改变路线，不能复制触发次数</t>
  </si>
  <si>
    <t>保留总价值；建议小数价值内部保存，汇总得分后取整</t>
  </si>
  <si>
    <t>按3D体积半分则半径×0.7937；2D物理需确认。子球继承已触发集合及原始寿命截止</t>
  </si>
  <si>
    <t>D007</t>
  </si>
  <si>
    <t>弹板</t>
  </si>
  <si>
    <t>改变轨迹</t>
  </si>
  <si>
    <t>被弹向弹板朝向方向</t>
  </si>
  <si>
    <t>球接触弹板</t>
  </si>
  <si>
    <t>弹走</t>
  </si>
  <si>
    <t>不限次数</t>
  </si>
  <si>
    <t>无</t>
  </si>
  <si>
    <t>D008</t>
  </si>
  <si>
    <t>增值透镜</t>
  </si>
  <si>
    <t>双倍价值；穿过后价值*2；</t>
  </si>
  <si>
    <t>球穿过增值透镜</t>
  </si>
  <si>
    <t>增值完成</t>
  </si>
  <si>
    <t>D009</t>
  </si>
  <si>
    <t>资本主义</t>
  </si>
  <si>
    <t>球：价值&lt;6被销毁，价值&gt;=6,价值*3</t>
  </si>
  <si>
    <t>球穿过</t>
  </si>
  <si>
    <t>处理完成</t>
  </si>
  <si>
    <t>价值&lt;6被销毁</t>
  </si>
  <si>
    <t>血穿炮</t>
  </si>
  <si>
    <t>将血储存在装置中，存满10价值后以X形向四方发射血线，血线经过之处圆钉被摧毁。触发后装置销毁</t>
  </si>
  <si>
    <t>存入价值满10的血珠</t>
  </si>
  <si>
    <t>X线上的圆钉</t>
  </si>
  <si>
    <t>技能使用后</t>
  </si>
  <si>
    <t>触发后装置销毁</t>
  </si>
  <si>
    <t>D0010</t>
  </si>
  <si>
    <t>减速带</t>
  </si>
  <si>
    <t>物理路线</t>
  </si>
  <si>
    <t>球经过后，球速-30%</t>
  </si>
  <si>
    <t>球经过</t>
  </si>
  <si>
    <t>减速后</t>
  </si>
  <si>
    <t>D0011</t>
  </si>
  <si>
    <t>复活吧我的爱人</t>
  </si>
  <si>
    <t>复活</t>
  </si>
  <si>
    <t>球经过后获得复活属性，可以在结算、销毁等状态后返还血液消耗量</t>
  </si>
  <si>
    <t>复活后</t>
  </si>
  <si>
    <t>同一装置每球最多1次</t>
  </si>
  <si>
    <t>D0012</t>
  </si>
  <si>
    <t>磁磁磁</t>
  </si>
  <si>
    <t>圆形，上方对磁弹珠有排斥力，下方对磁弹珠有吸引力，会被吸铁石吸引发生位移。磁场范围为20cm半径圆。</t>
  </si>
  <si>
    <t>磁弹珠经过</t>
  </si>
  <si>
    <t>磁弹珠离开</t>
  </si>
  <si>
    <t>M001</t>
  </si>
  <si>
    <t>药物</t>
  </si>
  <si>
    <t>原构思补全</t>
  </si>
  <si>
    <t>Sheet1!2</t>
  </si>
  <si>
    <t>肾上腺素；Rush；在效果时间内发射的弹珠，；10</t>
  </si>
  <si>
    <t>药效窗口内发射球的RUSH检定概率+20%；每次发射血耗×1.20</t>
  </si>
  <si>
    <t>服用后发射</t>
  </si>
  <si>
    <t>窗口内新生成球</t>
  </si>
  <si>
    <t>10秒发射窗口</t>
  </si>
  <si>
    <t>窗口结束停止赋予；已生成球保持到结算</t>
  </si>
  <si>
    <t>同类仅刷新窗口；不叠层</t>
  </si>
  <si>
    <t>期间血液消耗提高20%</t>
  </si>
  <si>
    <t>保留原10秒；与四叶草并用按先SET后ADD再封顶</t>
  </si>
  <si>
    <t>只在生成时快照属性，存量球不追溯修改</t>
  </si>
  <si>
    <t>M002</t>
  </si>
  <si>
    <t>烧烧果实</t>
  </si>
  <si>
    <t>RUSH收益</t>
  </si>
  <si>
    <t>占位补全建议</t>
  </si>
  <si>
    <t>Sheet1!3</t>
  </si>
  <si>
    <t>Rush；在效果时间内发射的弹珠；20</t>
  </si>
  <si>
    <t>窗口内发射球在RUSH期间得分额外×1.15；基础价值×0.90</t>
  </si>
  <si>
    <t>服用后发射；该球在RUSH中结算</t>
  </si>
  <si>
    <t>每球结算后结束</t>
  </si>
  <si>
    <t>同类刷新，不叠层</t>
  </si>
  <si>
    <t>非RUSH球仅承受价值降低</t>
  </si>
  <si>
    <t>保留Rush标签与20秒，专注爆发收益而非再加触发</t>
  </si>
  <si>
    <t>额外倍率归属于球的条件得分层，不能写回全局RUSH_MULT</t>
  </si>
  <si>
    <t>M003</t>
  </si>
  <si>
    <t>延长药剂</t>
  </si>
  <si>
    <t>药效窗口内发射球的触发RUSH时,RUSH时长+20%；每次发射血耗×1.20</t>
  </si>
  <si>
    <t>窗口结束停止赋予；已生成球保持到结算，RUSH延长时间至最后一次触发延长效果结束</t>
  </si>
  <si>
    <t>M004</t>
  </si>
  <si>
    <t>润流剂</t>
  </si>
  <si>
    <t>Sheet1!4</t>
  </si>
  <si>
    <t>物理；在效果时间内发射的弹珠；20</t>
  </si>
  <si>
    <t>窗口内发射球摩擦×0.60，弹性+0.10，价值×0.90</t>
  </si>
  <si>
    <t>价值降低10%，反弹路线更难预测</t>
  </si>
  <si>
    <t>保留物理标签与20秒；弹性总值封顶1.20</t>
  </si>
  <si>
    <t>使用球独立物理材质，避免修改共享材质影响全场</t>
  </si>
  <si>
    <t>M006</t>
  </si>
  <si>
    <t>凝血剂</t>
  </si>
  <si>
    <t>价值与物理</t>
  </si>
  <si>
    <t>Sheet1!6</t>
  </si>
  <si>
    <t>在效果时间内发射的弹珠；20</t>
  </si>
  <si>
    <t>窗口内发射球基础价值×1.30、体积×1.50、血耗×1.20</t>
  </si>
  <si>
    <t>球更大易卡口，血耗增加</t>
  </si>
  <si>
    <t>原条目无标签；新类别和全部效果均为建议</t>
  </si>
  <si>
    <t>按体积换算半径；受BALL_RADIUS边界限制，卡球计时清理</t>
  </si>
  <si>
    <t>M007</t>
  </si>
  <si>
    <t>摇头丸</t>
  </si>
  <si>
    <t>窗口内发射球弹性+3，基础价值X1.30，血耗X1.20</t>
  </si>
  <si>
    <t>线路更加不稳定</t>
  </si>
  <si>
    <t>M008</t>
  </si>
  <si>
    <t>稀血剂</t>
  </si>
  <si>
    <t>窗口内发射球有30%概率穿过圆钉，基础价值X1.30，血耗X1.20</t>
  </si>
  <si>
    <t>血耗增加</t>
  </si>
  <si>
    <t>M009</t>
  </si>
  <si>
    <t>无限增值</t>
  </si>
  <si>
    <t>窗口内发射球体积X1.5，血耗X2.0。球每次进入装置或圆钉，复制一个一样的血珠（血球所有属性均复制）。即只要带有无限增值属性的球都可继续增值为带有无限增值属性的球</t>
  </si>
  <si>
    <t>窗口内新生成球，以及所有带有无限增值属性的球</t>
  </si>
  <si>
    <t>血耗增加，体积增大</t>
  </si>
  <si>
    <t>M0010</t>
  </si>
  <si>
    <t>磁堕</t>
  </si>
  <si>
    <t>窗口内发射球具有磁力属性，磁场范围半径10cm，磁弹珠之间不会互相影响。血耗量X1.20，价值X1.10</t>
  </si>
  <si>
    <t>定向试剂（补全名）</t>
  </si>
  <si>
    <t>控制</t>
  </si>
  <si>
    <t>Sheet1!7</t>
  </si>
  <si>
    <t>窗口内发射球首次通过传送门后，出口方向固定朝下；基础价值×0.90</t>
  </si>
  <si>
    <t>服用后发射；首次传送</t>
  </si>
  <si>
    <t>20秒发射窗口</t>
  </si>
  <si>
    <t>首次传送消耗方向效果；价值减益至结算</t>
  </si>
  <si>
    <t>价值降低10%，对无传送门构筑无收益</t>
  </si>
  <si>
    <t>提供可预测路径；不能恢复流程已删除的手动弹射装置</t>
  </si>
  <si>
    <t>每球消费一次方向标记，不改变门配对或位置</t>
  </si>
  <si>
    <t>I001</t>
  </si>
  <si>
    <t>刻度卡尺</t>
  </si>
  <si>
    <t>道具</t>
  </si>
  <si>
    <t>信息与布置</t>
  </si>
  <si>
    <t>新增建议</t>
  </si>
  <si>
    <t>流程图第1页及本次设计</t>
  </si>
  <si>
    <t>无，新增建议</t>
  </si>
  <si>
    <t>布置阶段显示增幅塔20cm连线范围和传送门出口预测线</t>
  </si>
  <si>
    <t>持有且处于布置阶段</t>
  </si>
  <si>
    <t>布置界面</t>
  </si>
  <si>
    <t>本局持有期间</t>
  </si>
  <si>
    <t>出售或本局结束</t>
  </si>
  <si>
    <t>唯一持有</t>
  </si>
  <si>
    <t>占用1道具槽</t>
  </si>
  <si>
    <t>信息收益不加全局倍率，降低布局试错</t>
  </si>
  <si>
    <t>预测线只画初始段，不宣称完整随机物理轨迹</t>
  </si>
  <si>
    <t>I002</t>
  </si>
  <si>
    <t>节流阀</t>
  </si>
  <si>
    <t>血液经济</t>
  </si>
  <si>
    <t>所有新发射血耗×0.90，同时基础价值×0.95</t>
  </si>
  <si>
    <t>持有时发射</t>
  </si>
  <si>
    <t>新生成球</t>
  </si>
  <si>
    <t>出售后只影响后续发射</t>
  </si>
  <si>
    <t>单球价值降低5%</t>
  </si>
  <si>
    <t>约提高价值/血量5.6%；注意与凝珠剂和肾上腺素同算</t>
  </si>
  <si>
    <t>血耗先乘药物和道具，再按BLOOD_COST上下限夹紧</t>
  </si>
  <si>
    <t>I003</t>
  </si>
  <si>
    <t>退潮凭证</t>
  </si>
  <si>
    <t>提现</t>
  </si>
  <si>
    <t>成功通关且主动提现时，剩余血量换金系数k乘1.15</t>
  </si>
  <si>
    <t>主动提现完成且最终总分达标</t>
  </si>
  <si>
    <t>剩余血量收益</t>
  </si>
  <si>
    <t>每回合最多1次</t>
  </si>
  <si>
    <t>本次结算完成</t>
  </si>
  <si>
    <t>只增加平方根提现收益，不放大银行金币</t>
  </si>
  <si>
    <t>条件含最终赌狗结算结果；失败不发奖励</t>
  </si>
  <si>
    <t>I004</t>
  </si>
  <si>
    <t>止损票</t>
  </si>
  <si>
    <t>赌博保险</t>
  </si>
  <si>
    <t>本局下一次赌狗结算全损时返还筹码池价值20%为得分，消耗道具</t>
  </si>
  <si>
    <t>赌狗结果为全损</t>
  </si>
  <si>
    <t>本次筹码池</t>
  </si>
  <si>
    <t>本局一次</t>
  </si>
  <si>
    <t>触发即销毁</t>
  </si>
  <si>
    <t>消耗型，占用道具槽直到触发</t>
  </si>
  <si>
    <t>只减小下行波动，不重抽中奖结果</t>
  </si>
  <si>
    <t>原结果仍记为全损，不触发胜利类效果</t>
  </si>
  <si>
    <t>I005</t>
  </si>
  <si>
    <t>节拍徽章</t>
  </si>
  <si>
    <t>RUSH节奏</t>
  </si>
  <si>
    <t>RUSH持续时间+2秒，RUSH得分倍率减少0.20</t>
  </si>
  <si>
    <t>持有时RUSH开始</t>
  </si>
  <si>
    <t>本次RUSH状态</t>
  </si>
  <si>
    <t>RUSH开始时快照</t>
  </si>
  <si>
    <t>瞬时倍率降低</t>
  </si>
  <si>
    <t>以字典默认10秒×2为参照，变为12秒×1.8；需以实际入球数评估</t>
  </si>
  <si>
    <t>RUSH期间命中不重启或叠加时长，避免常驻</t>
  </si>
  <si>
    <t>I006</t>
  </si>
  <si>
    <t>清障扳手</t>
  </si>
  <si>
    <t>故障救济</t>
  </si>
  <si>
    <t>本回合首次有球连续2秒速度低于0.1 unit/s时，给予向下2 unit/s脉冲</t>
  </si>
  <si>
    <t>球卡滞判定</t>
  </si>
  <si>
    <t>最先卡滞的球</t>
  </si>
  <si>
    <t>每回合1次</t>
  </si>
  <si>
    <t>使用后本回合不可再触发，下回合重置</t>
  </si>
  <si>
    <t>救球次数有限，可能进入低收益出口</t>
  </si>
  <si>
    <t>为物理随机性提供有限补救，不保证得分</t>
  </si>
  <si>
    <t>暂停与储轮存球不算卡滞；仍受最大速度约束</t>
  </si>
  <si>
    <t>I007</t>
  </si>
  <si>
    <t>吸铁石</t>
  </si>
  <si>
    <t>每回合可以使用1次，5s操作时间，可对所有带有磁力属性的物品有
引力效果（物品包括装置和弹珠）</t>
  </si>
  <si>
    <t>选择道具并使用</t>
  </si>
  <si>
    <t>所有带有磁力属性装置和弹珠</t>
  </si>
  <si>
    <t>5s</t>
  </si>
  <si>
    <t>时间结束</t>
  </si>
  <si>
    <t>效果参数</t>
  </si>
  <si>
    <t>空白时长值表示按事件结束，见时长单位。数值为0且单位为即时表示一次性效果。</t>
  </si>
  <si>
    <t>效果ID</t>
  </si>
  <si>
    <t>运算</t>
  </si>
  <si>
    <t>数值</t>
  </si>
  <si>
    <t>单位</t>
  </si>
  <si>
    <t>作用域</t>
  </si>
  <si>
    <t>时长值</t>
  </si>
  <si>
    <t>时长单位</t>
  </si>
  <si>
    <t>冷却秒</t>
  </si>
  <si>
    <t>触发或层数上限</t>
  </si>
  <si>
    <t>依据</t>
  </si>
  <si>
    <t>参数说明</t>
  </si>
  <si>
    <t>D001-01</t>
  </si>
  <si>
    <t>BANK_RATE</t>
  </si>
  <si>
    <t>金币/价值</t>
  </si>
  <si>
    <t>入银行</t>
  </si>
  <si>
    <t>取整前乘利率和金血悬液；只结算一次</t>
  </si>
  <si>
    <t>D001-02</t>
  </si>
  <si>
    <t>BANK_INTEREST</t>
  </si>
  <si>
    <t>ADD</t>
  </si>
  <si>
    <t>原表</t>
  </si>
  <si>
    <t>本金系数1，加利率0.20</t>
  </si>
  <si>
    <t>D002-01</t>
  </si>
  <si>
    <t>TOWER_LINK_DISTANCE</t>
  </si>
  <si>
    <t>cm</t>
  </si>
  <si>
    <t>布置</t>
  </si>
  <si>
    <t>塔对</t>
  </si>
  <si>
    <t>持有</t>
  </si>
  <si>
    <t>Unity/Godot场景单位换算需统一</t>
  </si>
  <si>
    <t>D002-02</t>
  </si>
  <si>
    <t>MUL</t>
  </si>
  <si>
    <t>穿线</t>
  </si>
  <si>
    <t>至结算</t>
  </si>
  <si>
    <t>原公式n未定；同线1次，全场3次</t>
  </si>
  <si>
    <t>D003-01</t>
  </si>
  <si>
    <t>BALL_SPEED_DELTA</t>
  </si>
  <si>
    <t>输出</t>
  </si>
  <si>
    <t>原表+建议冷却</t>
  </si>
  <si>
    <t>实际速度属性扩展，不能用发射速度倍率代替</t>
  </si>
  <si>
    <t>D004-01</t>
  </si>
  <si>
    <t>PORTAL_TRANSFER</t>
  </si>
  <si>
    <t>EVENT</t>
  </si>
  <si>
    <t>次</t>
  </si>
  <si>
    <t>入门</t>
  </si>
  <si>
    <t>上限按门对；冷却按球全场共享</t>
  </si>
  <si>
    <t>D005-01</t>
  </si>
  <si>
    <t>RUSH_TRIGGER_CHANCE</t>
  </si>
  <si>
    <t>probability</t>
  </si>
  <si>
    <t>过叶后得分</t>
  </si>
  <si>
    <t>球家族</t>
  </si>
  <si>
    <t>首次检定</t>
  </si>
  <si>
    <t>25%基线是原装置设想，不代表流程已确认</t>
  </si>
  <si>
    <t>D006-01</t>
  </si>
  <si>
    <t>入轮</t>
  </si>
  <si>
    <t>秒</t>
  </si>
  <si>
    <t>每球只储存一次，满容量走旁路</t>
  </si>
  <si>
    <t>D006-02</t>
  </si>
  <si>
    <t>DEVICE_RELEASE_INTERVAL</t>
  </si>
  <si>
    <t>秒/球</t>
  </si>
  <si>
    <t>释放</t>
  </si>
  <si>
    <t>不复用原释放速度字段：其单位定义冲突</t>
  </si>
  <si>
    <t>D007-01</t>
  </si>
  <si>
    <t>子球数</t>
  </si>
  <si>
    <t>入分流器</t>
  </si>
  <si>
    <t>原表+建议代数</t>
  </si>
  <si>
    <t>2代上限，母球替换为两球</t>
  </si>
  <si>
    <t>D007-02</t>
  </si>
  <si>
    <t>分裂</t>
  </si>
  <si>
    <t>子球</t>
  </si>
  <si>
    <t>先分值不取整，保持价值守恒</t>
  </si>
  <si>
    <t>D007-03</t>
  </si>
  <si>
    <t>BALL_VOLUME_RATIO</t>
  </si>
  <si>
    <t>至消失</t>
  </si>
  <si>
    <t>体积半分不是半径半分</t>
  </si>
  <si>
    <t>M001-01</t>
  </si>
  <si>
    <t>发射</t>
  </si>
  <si>
    <t>新球</t>
  </si>
  <si>
    <t>发射窗口秒</t>
  </si>
  <si>
    <t>原时长+建议效果</t>
  </si>
  <si>
    <t>增加10个百分点，最终封顶0.75</t>
  </si>
  <si>
    <t>M001-02</t>
  </si>
  <si>
    <t>发射事务</t>
  </si>
  <si>
    <t>同次发射先计算成本，再生成球</t>
  </si>
  <si>
    <t>M002-01</t>
  </si>
  <si>
    <t>BALL_RUSH_SCORE_MOD</t>
  </si>
  <si>
    <t>RUSH期间得分</t>
  </si>
  <si>
    <t>球上条件倍率，不改变全局状态</t>
  </si>
  <si>
    <t>M002-02</t>
  </si>
  <si>
    <t>非RUSH也降低</t>
  </si>
  <si>
    <t>M003-01</t>
  </si>
  <si>
    <t>原字典默认0.25变为0.15</t>
  </si>
  <si>
    <t>M003-02</t>
  </si>
  <si>
    <t>最终夹紧0至1.20</t>
  </si>
  <si>
    <t>M003-03</t>
  </si>
  <si>
    <t>物理收益的代价</t>
  </si>
  <si>
    <t>M004-01</t>
  </si>
  <si>
    <t>BANK_BALL_MOD</t>
  </si>
  <si>
    <t>金币取整之前生效</t>
  </si>
  <si>
    <t>M004-02</t>
  </si>
  <si>
    <t>BALL_SCORE_MOD</t>
  </si>
  <si>
    <t>普通得分</t>
  </si>
  <si>
    <t>不再降低银行使用的球价值</t>
  </si>
  <si>
    <t>M005-01</t>
  </si>
  <si>
    <t>M005</t>
  </si>
  <si>
    <t>与增幅塔连乘但受每球次数控制</t>
  </si>
  <si>
    <t>M005-02</t>
  </si>
  <si>
    <t>半径按体积换算</t>
  </si>
  <si>
    <t>M005-03</t>
  </si>
  <si>
    <t>与肾上腺素相乘</t>
  </si>
  <si>
    <t>M006-01</t>
  </si>
  <si>
    <t>PORTAL_EXIT_DOWN</t>
  </si>
  <si>
    <t>布尔</t>
  </si>
  <si>
    <t>首次传送</t>
  </si>
  <si>
    <t>1表示强制朝下，消费后清除</t>
  </si>
  <si>
    <t>M006-02</t>
  </si>
  <si>
    <t>没有经过传送门也承受减益</t>
  </si>
  <si>
    <t>I001-01</t>
  </si>
  <si>
    <t>LAYOUT_PREVIEW</t>
  </si>
  <si>
    <t>界面</t>
  </si>
  <si>
    <t>本局持有</t>
  </si>
  <si>
    <t>1显示范围</t>
  </si>
  <si>
    <t>I002-01</t>
  </si>
  <si>
    <t>消耗不能低于0.1</t>
  </si>
  <si>
    <t>I002-02</t>
  </si>
  <si>
    <t>快照后不因出售撤回</t>
  </si>
  <si>
    <t>I003-01</t>
  </si>
  <si>
    <t>CASHOUT_K_MOD</t>
  </si>
  <si>
    <t>成功主动提现</t>
  </si>
  <si>
    <t>结算</t>
  </si>
  <si>
    <t>每回合至多一次，不乘银行收益</t>
  </si>
  <si>
    <t>I004-01</t>
  </si>
  <si>
    <t>GAMBLE_LOSS_REFUND</t>
  </si>
  <si>
    <t>全损结果</t>
  </si>
  <si>
    <t>筹码池</t>
  </si>
  <si>
    <t>返还为得分而非金币</t>
  </si>
  <si>
    <t>I005-01</t>
  </si>
  <si>
    <t>RUSH开始</t>
  </si>
  <si>
    <t>最低1秒</t>
  </si>
  <si>
    <t>I005-02</t>
  </si>
  <si>
    <t>最低1倍</t>
  </si>
  <si>
    <t>I006-01</t>
  </si>
  <si>
    <t>STUCK_TIME</t>
  </si>
  <si>
    <t>卡滞</t>
  </si>
  <si>
    <t>球</t>
  </si>
  <si>
    <t>每回合一次</t>
  </si>
  <si>
    <t>速度&lt;0.1且不处于储存/暂停</t>
  </si>
  <si>
    <t>I006-02</t>
  </si>
  <si>
    <t>UNSTUCK_IMPULSE</t>
  </si>
  <si>
    <t>卡滞触发</t>
  </si>
  <si>
    <t>向下速度增量，受最大速度限制</t>
  </si>
  <si>
    <t>属性扩展</t>
  </si>
  <si>
    <t>定义及作用域</t>
  </si>
  <si>
    <t>D001：取整前乘利率和金血悬液；只结算一次</t>
  </si>
  <si>
    <t>新增建议，接入前确认</t>
  </si>
  <si>
    <t>D001：本金系数1，加利率0.20</t>
  </si>
  <si>
    <t>D002：Unity/Godot场景单位换算需统一</t>
  </si>
  <si>
    <t>D003：实际速度属性扩展，不能用发射速度倍率代替</t>
  </si>
  <si>
    <t>D004：上限按门对；冷却按球全场共享</t>
  </si>
  <si>
    <t>D005：25%基线是原装置设想，不代表流程已确认；M001：增加10个百分点，最终封顶0.75</t>
  </si>
  <si>
    <t>D006：不复用原释放速度字段：其单位定义冲突</t>
  </si>
  <si>
    <t>D007：体积半分不是半径半分；M005：半径按体积换算</t>
  </si>
  <si>
    <t>M002：球上条件倍率，不改变全局状态</t>
  </si>
  <si>
    <t>M004：金币取整之前生效</t>
  </si>
  <si>
    <t>M004：不再降低银行使用的球价值</t>
  </si>
  <si>
    <t>M006：1表示强制朝下，消费后清除</t>
  </si>
  <si>
    <t>I001：1显示范围</t>
  </si>
  <si>
    <t>I003：每回合至多一次，不乘银行收益</t>
  </si>
  <si>
    <t>I004：返还为得分而非金币</t>
  </si>
  <si>
    <t>I006：速度&lt;0.1且不处于储存/暂停</t>
  </si>
  <si>
    <t>I006：向下速度增量，受最大速度限制</t>
  </si>
  <si>
    <t>分类与使用说明</t>
  </si>
  <si>
    <t>主题</t>
  </si>
  <si>
    <t>分项</t>
  </si>
  <si>
    <t>关联</t>
  </si>
  <si>
    <t>设计方向或说明</t>
  </si>
  <si>
    <t>约束</t>
  </si>
  <si>
    <t>路径控制、价值增益、概率、经济出口、时序</t>
  </si>
  <si>
    <t>D001–D007</t>
  </si>
  <si>
    <t>布置改变球的行进与出口选择；强化收益应占位置或要求路线</t>
  </si>
  <si>
    <t>银行与得分口互斥；增幅有次数上限；传送带冷却</t>
  </si>
  <si>
    <t>概率爆发、RUSH收益、物理、经济、价值、控制</t>
  </si>
  <si>
    <t>M001–M006</t>
  </si>
  <si>
    <t>短时间改变新球，让玩家根据当前布局选择服药时机</t>
  </si>
  <si>
    <t>保留10/20秒原时长；收益配负面效果；同类刷新不同类可并存</t>
  </si>
  <si>
    <t>信息、节流、提现、止损、节奏、救球</t>
  </si>
  <si>
    <t>I001–I006</t>
  </si>
  <si>
    <t>跨回合形成构筑倾向，提供可预测性与有限容错</t>
  </si>
  <si>
    <t>建议持有上限3槽、同名唯一；止损票一次性消耗，其他随局持有</t>
  </si>
  <si>
    <t>原始材料</t>
  </si>
  <si>
    <t>保留范围</t>
  </si>
  <si>
    <t>原表全部4页</t>
  </si>
  <si>
    <t>00_ATTRIBUTE_DICTIONARY (2)、Sheet1、Sheet2、Sheet3保留原名和内容</t>
  </si>
  <si>
    <t>13行原构思含6个占位均逐行关联。原空道具页不伪造历史内容</t>
  </si>
  <si>
    <t>新增字段</t>
  </si>
  <si>
    <t>表间关联</t>
  </si>
  <si>
    <t>设计总表与效果参数</t>
  </si>
  <si>
    <t>设计ID一对多关联效果ID；原表定位按原始行号；属性ID复用原字典或见属性扩展</t>
  </si>
  <si>
    <t>效果参数是数值配置入口，设计总表为规则说明；修改数值时同步文案</t>
  </si>
  <si>
    <t>数值状态</t>
  </si>
  <si>
    <t>区分已给定与建议</t>
  </si>
  <si>
    <t>全部新增设计待测试</t>
  </si>
  <si>
    <t>原表中的10/20秒、20cm、+5、25%到75%、20%利率和半分保留并注明</t>
  </si>
  <si>
    <t>价格与掉落权重暂无经济基线，不伪造定价；建议稀有度不是掉率</t>
  </si>
  <si>
    <t>稀有度</t>
  </si>
  <si>
    <t>使用原字典枚举</t>
  </si>
  <si>
    <t>Common / Uncommon / Rare / Epic / Legendary</t>
  </si>
  <si>
    <t>Common：单一控制或小收益；Uncommon：两机制联动；Rare：改写经济或概率；更高等级留空</t>
  </si>
  <si>
    <t>原强度预算10/18/30/50/80原样保留，未建立计分标尺前不强行分配点数</t>
  </si>
  <si>
    <t>优先级</t>
  </si>
  <si>
    <t>原型落地</t>
  </si>
  <si>
    <t>P0先做；P1后做</t>
  </si>
  <si>
    <t>先接发射快照、得分与退出清场，再做银行、增幅、离心、传送、分裂和肾上腺素</t>
  </si>
  <si>
    <t>先用固定随机种子对照，后验证随机局的达标率、时长、金币与卡球率</t>
  </si>
  <si>
    <t>使用方式</t>
  </si>
  <si>
    <t>筛选与维护</t>
  </si>
  <si>
    <t>设计总表、效果参数</t>
  </si>
  <si>
    <t>按大类、子类、稀有度、状态筛选；新增效果须有唯一设计ID和属性ID</t>
  </si>
  <si>
    <t>黄色沙盘数值可改；所有默认测试数值均不代表已验证平衡</t>
  </si>
  <si>
    <t>流程与规则</t>
  </si>
  <si>
    <t>规则ID</t>
  </si>
  <si>
    <t>环节</t>
  </si>
  <si>
    <t>依据级别</t>
  </si>
  <si>
    <t>规范规则</t>
  </si>
  <si>
    <t>待确认或边界</t>
  </si>
  <si>
    <t>关联设计</t>
  </si>
  <si>
    <t>F01</t>
  </si>
  <si>
    <t>回合开始补满血</t>
  </si>
  <si>
    <t>正式流程</t>
  </si>
  <si>
    <t>回合血量重置，保留本局装置与持有道具</t>
  </si>
  <si>
    <t>最大血量、器官抵押影响尚待确认</t>
  </si>
  <si>
    <t>全局</t>
  </si>
  <si>
    <t>F02</t>
  </si>
  <si>
    <t>调整抽血机，空格发射</t>
  </si>
  <si>
    <t>先快照药物/道具，再扣血、生成特殊球</t>
  </si>
  <si>
    <t>球价值与血耗映射待定；不恢复已删除的复杂手动弹射装置</t>
  </si>
  <si>
    <t>M001–M006、I002</t>
  </si>
  <si>
    <t>F03</t>
  </si>
  <si>
    <t>途中机关和装置</t>
  </si>
  <si>
    <t>正式流程+规范建议</t>
  </si>
  <si>
    <t>按进入/穿越事件触发，避免每帧重复回调</t>
  </si>
  <si>
    <t>物理更新顺序、cm到场景单位待定</t>
  </si>
  <si>
    <t>D002–D007</t>
  </si>
  <si>
    <t>F04</t>
  </si>
  <si>
    <t>入普通得分口</t>
  </si>
  <si>
    <t>球价值×机器倍率×全局状态；消费球并累计得分，再进行一次RUSH检定</t>
  </si>
  <si>
    <t>新触发RUSH从下一次得分生效，避免本球自触发自享受倍率</t>
  </si>
  <si>
    <t>D005、M001、M002</t>
  </si>
  <si>
    <t>F05</t>
  </si>
  <si>
    <t>入赌狗装置</t>
  </si>
  <si>
    <t>球转筹码池，不同时进普通分；回合结算统一抽一次结果</t>
  </si>
  <si>
    <t>沿用原字典概率作测试，不将其视为正式流程固定值</t>
  </si>
  <si>
    <t>F06</t>
  </si>
  <si>
    <t>入银行或落底</t>
  </si>
  <si>
    <t>银行入金币后销毁；落底无收益销毁；一个球只能有一个终端出口</t>
  </si>
  <si>
    <t>银行收益是否失败局保留？建议局失败全部清空，需确认</t>
  </si>
  <si>
    <t>D001、M004</t>
  </si>
  <si>
    <t>F07</t>
  </si>
  <si>
    <t>主动提现或血量耗尽</t>
  </si>
  <si>
    <t>停止新发射，释放储存球，让在途球结算后再结算赌狗池</t>
  </si>
  <si>
    <t>是否允许在途清场待确认；建议30秒球寿命上限，暂停不计时</t>
  </si>
  <si>
    <t>D006、I003</t>
  </si>
  <si>
    <t>F08</t>
  </si>
  <si>
    <t>判定达标、越级、失败</t>
  </si>
  <si>
    <t>加入赌狗得分后比较当前与后续阶段目标，分别发达标/越级奖励或重开</t>
  </si>
  <si>
    <t>里程1000/2000/3000/4000/6000/10000仅示意，非已平衡门槛</t>
  </si>
  <si>
    <t>F09</t>
  </si>
  <si>
    <t>剩余血量提现</t>
  </si>
  <si>
    <t>金币=floor(k×sqrt(剩余血量)×CASHOUT_K_MOD)，只对成功主动提现发放</t>
  </si>
  <si>
    <t>流程k待调；字典BLOOD_DIVIDEND_RATE若沿用，应解释为k的修正而非线性兑换</t>
  </si>
  <si>
    <t>F10</t>
  </si>
  <si>
    <t>商店、布置、下一回合</t>
  </si>
  <si>
    <t>购买药物、装置、发射头、道具后布置；装置本次购买下一回合生效</t>
  </si>
  <si>
    <t>流程仍提发射头，但另处删除弹射装置；发射头范围待确认，本次不新增该类</t>
  </si>
  <si>
    <t>R01</t>
  </si>
  <si>
    <t>RUSH两种体系冲突</t>
  </si>
  <si>
    <t>待确认</t>
  </si>
  <si>
    <t>本版规范建议采用概率触发，保留原积累属性，不启用并行积累</t>
  </si>
  <si>
    <t>RUSH_GAIN_RATE、BALL_RUSH_GAIN、RUSH_DECAY不直接参与本版示例</t>
  </si>
  <si>
    <t>D005、M001</t>
  </si>
  <si>
    <t>R02</t>
  </si>
  <si>
    <t>RUSH概率与重触发</t>
  </si>
  <si>
    <t>规范建议</t>
  </si>
  <si>
    <t>先SET取较高值，再ADD，夹紧0至0.75；基础测试值0.25；已在RUSH时不重新检定</t>
  </si>
  <si>
    <t>同家族分裂后仅首次有效得分拥有一次检定资格；落底不检定</t>
  </si>
  <si>
    <t>D005、D007、M001</t>
  </si>
  <si>
    <t>R03</t>
  </si>
  <si>
    <t>药效时钟和持久性</t>
  </si>
  <si>
    <t>以有效游戏时间计时，暂停停表。只影响窗口内发射球，球上快照保留到结算</t>
  </si>
  <si>
    <t>同名再服用刷新为完整窗口，不累加时长；无效阶段使用不扣库存</t>
  </si>
  <si>
    <t>R04</t>
  </si>
  <si>
    <t>通用运算与分层</t>
  </si>
  <si>
    <t>沿用原字典逐属性Stack_Rule和Stack_Order；新概率字段使用R02规则</t>
  </si>
  <si>
    <t>球价值、机器倍率、RUSH状态分别计算，RUSH_MULT只进入GLOBAL_MULT一次</t>
  </si>
  <si>
    <t>全部效果</t>
  </si>
  <si>
    <t>R05</t>
  </si>
  <si>
    <t>分裂守恒及继承</t>
  </si>
  <si>
    <t>原表+规范建议</t>
  </si>
  <si>
    <t>子球价值总和等于母球，体积总和等于母球；生命截止时间、药物标记和已触发集合继承</t>
  </si>
  <si>
    <t>价值1到2之间若每子球最小1则不得分裂；原案仅明确价值1不分裂，此处补边界</t>
  </si>
  <si>
    <t>R06</t>
  </si>
  <si>
    <t>提现、失败与器官抵押</t>
  </si>
  <si>
    <t>流程待细化</t>
  </si>
  <si>
    <t>抵押替代直接卖器官，可在后续花金币赎回；本版暂不设计额外器官道具</t>
  </si>
  <si>
    <t>最大血量代价、赎回价格、失败清账、回合恢复顺序需先确认</t>
  </si>
  <si>
    <t>后续系统</t>
  </si>
  <si>
    <t>R07</t>
  </si>
  <si>
    <t>赌博期望冲突</t>
  </si>
  <si>
    <t>计算发现</t>
  </si>
  <si>
    <t>现有概率0.4/0.3/0.25/0.05、倍率0/1/2/5推得期望1.05</t>
  </si>
  <si>
    <t>原GAMBLE_BASE_EV为0.9，保留原值并在沙盘对照；勿同时使用两个权威数值</t>
  </si>
  <si>
    <t>属性字典第35至40行</t>
  </si>
  <si>
    <t>平衡沙盘</t>
  </si>
  <si>
    <t>黄色为独立试算输入；灰色链接原字典。沙盘不自动回写效果参数。</t>
  </si>
  <si>
    <t>测试项</t>
  </si>
  <si>
    <t>输入A</t>
  </si>
  <si>
    <t>输入B</t>
  </si>
  <si>
    <t>输入C</t>
  </si>
  <si>
    <t>计算结果</t>
  </si>
  <si>
    <t>单位或含义</t>
  </si>
  <si>
    <t>判定与用途</t>
  </si>
  <si>
    <t>银行换金</t>
  </si>
  <si>
    <t>价值、兑换系数、利率</t>
  </si>
  <si>
    <t>金币向下取整；不同时获得得分</t>
  </si>
  <si>
    <t>增幅最大收益</t>
  </si>
  <si>
    <t>初值、每次倍率、次数上限</t>
  </si>
  <si>
    <t>3次上限可防回流无限复利</t>
  </si>
  <si>
    <t>离心机限速</t>
  </si>
  <si>
    <t>入速度、速度增量、速度上限</t>
  </si>
  <si>
    <t>单位均为unit/s；C列并非物理加速度</t>
  </si>
  <si>
    <t>分裂两子球总价值</t>
  </si>
  <si>
    <t>母价值、单子保留率、子球数</t>
  </si>
  <si>
    <t>应等于输入A；小数价值内部保留</t>
  </si>
  <si>
    <t>肾上腺素与四叶草</t>
  </si>
  <si>
    <t>SET值、ADD值、总概率封顶</t>
  </si>
  <si>
    <t>四叶草原案使概率药收益溢出，建议分路线投放</t>
  </si>
  <si>
    <t>四叶草保守对照</t>
  </si>
  <si>
    <t>对照SET值、ADD值、封顶</t>
  </si>
  <si>
    <t>45%为新测试档，未替换原75%</t>
  </si>
  <si>
    <t>RUSH触发的族数效应</t>
  </si>
  <si>
    <t>单次概率、独立球家族数、预留</t>
  </si>
  <si>
    <t>至少触发一次的概率；仅首次启动前独立检定</t>
  </si>
  <si>
    <t>主动提现</t>
  </si>
  <si>
    <t>剩血、k试算值、凭证倍率</t>
  </si>
  <si>
    <t>k=1仅沙盘假设；正向平方根提现</t>
  </si>
  <si>
    <t>节流阀价值血耗比</t>
  </si>
  <si>
    <t>价值系数、血耗系数、基准比</t>
  </si>
  <si>
    <t>相对效率，未计路径损失与门槛</t>
  </si>
  <si>
    <t>默认赌博期望</t>
  </si>
  <si>
    <t>返还概率、双倍概率、大奖概率</t>
  </si>
  <si>
    <t>倍率从原字典引用；原填期望在下一行对照</t>
  </si>
  <si>
    <t>字典期望差额</t>
  </si>
  <si>
    <t>推导期望减原填值</t>
  </si>
  <si>
    <t>非零说明原填期望与概率表不一致</t>
  </si>
  <si>
    <t>止损票单次期望</t>
  </si>
  <si>
    <t>全损概率、损失返还率</t>
  </si>
  <si>
    <t>仅首次全损一次，不视为永久加成</t>
  </si>
  <si>
    <t>赌博概率合计</t>
  </si>
  <si>
    <t>引用原字典4种概率</t>
  </si>
  <si>
    <t>应为1，改变概率后先检查此项</t>
  </si>
  <si>
    <t>一次发射批次生成的弹珠数量，发射器可以一次迸发多个弹珠</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</si>
</sst>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8" formatCode="0.000"/>
    <numFmt numFmtId="179" formatCode="0.0%"/>
  </numFmts>
  <fonts count="13">
    <font>
      <sz val="11"/>
      <color theme="1"/>
      <name val="宋体"/>
      <charset val="134"/>
    </font>
    <font>
      <b/>
      <sz val="15"/>
      <color rgb="FF622D3C"/>
      <name val="Microsoft YaHei"/>
      <charset val="134"/>
    </font>
    <font>
      <b/>
      <sz val="10"/>
      <color rgb="FFFFFFFF"/>
      <name val="Microsoft YaHei"/>
      <charset val="134"/>
    </font>
    <font>
      <sz val="10"/>
      <color rgb="FF242424"/>
      <name val="Microsoft YaHei"/>
      <charset val="134"/>
    </font>
    <font>
      <sz val="11"/>
      <color rgb="FF242424"/>
      <name val="Microsoft YaHei"/>
      <charset val="134"/>
    </font>
    <font>
      <sz val="11"/>
      <name val="Carlito"/>
      <family val="1"/>
    </font>
    <font>
      <sz val="10"/>
      <color rgb="FF241C20"/>
      <name val="Microsoft YaHei"/>
      <charset val="134"/>
    </font>
    <font>
      <b/>
      <sz val="15"/>
      <color rgb="FF4B1728"/>
      <name val="Microsoft YaHei"/>
      <charset val="134"/>
    </font>
    <font>
      <i/>
      <sz val="9"/>
      <color rgb="FF6F6268"/>
      <name val="Microsoft YaHei"/>
      <charset val="134"/>
    </font>
    <font>
      <b/>
      <sz val="9"/>
      <color rgb="FF6F6268"/>
      <name val="Microsoft YaHei"/>
      <charset val="134"/>
    </font>
    <font>
      <b/>
      <sz val="12"/>
      <color rgb="FFA51C36"/>
      <name val="Microsoft YaHei"/>
      <charset val="134"/>
    </font>
    <font>
      <b/>
      <sz val="9"/>
      <color rgb="FFFFFFFF"/>
      <name val="Microsoft YaHei"/>
      <charset val="134"/>
    </font>
    <font>
      <sz val="9"/>
      <name val="宋体"/>
      <family val="3"/>
      <charset val="134"/>
    </font>
  </fonts>
  <fills count="13">
    <fill>
      <patternFill patternType="none"/>
    </fill>
    <fill>
      <patternFill patternType="gray125"/>
    </fill>
    <fill>
      <patternFill patternType="solid">
        <fgColor rgb="FF622D3C"/>
        <bgColor indexed="64"/>
      </patternFill>
    </fill>
    <fill>
      <patternFill patternType="solid">
        <fgColor rgb="FFFFF3CC"/>
        <bgColor indexed="64"/>
      </patternFill>
    </fill>
    <fill>
      <patternFill patternType="solid">
        <fgColor rgb="FFF6ECEF"/>
        <bgColor indexed="64"/>
      </patternFill>
    </fill>
    <fill>
      <patternFill patternType="solid">
        <fgColor rgb="FFEAEAEA"/>
        <bgColor indexed="64"/>
      </patternFill>
    </fill>
    <fill>
      <patternFill patternType="solid">
        <fgColor rgb="FFFFFFFF"/>
        <bgColor indexed="64"/>
      </patternFill>
    </fill>
    <fill>
      <patternFill patternType="solid">
        <fgColor theme="4" tint="0.79998168889431442"/>
        <bgColor indexed="64"/>
      </patternFill>
    </fill>
    <fill>
      <patternFill patternType="solid">
        <fgColor theme="4" tint="0.79998168889431442"/>
        <bgColor indexed="64"/>
      </patternFill>
    </fill>
    <fill>
      <patternFill patternType="solid">
        <fgColor rgb="FFF3EFF1"/>
        <bgColor indexed="64"/>
      </patternFill>
    </fill>
    <fill>
      <patternFill patternType="solid">
        <fgColor rgb="FF4B1728"/>
        <bgColor indexed="64"/>
      </patternFill>
    </fill>
    <fill>
      <patternFill patternType="solid">
        <fgColor rgb="FFFFF4CC"/>
        <bgColor indexed="64"/>
      </patternFill>
    </fill>
    <fill>
      <patternFill patternType="solid">
        <fgColor rgb="FFDDEBF7"/>
        <bgColor indexed="64"/>
      </patternFill>
    </fill>
  </fills>
  <borders count="15">
    <border>
      <left/>
      <right/>
      <top/>
      <bottom/>
      <diagonal/>
    </border>
    <border>
      <left/>
      <right/>
      <top/>
      <bottom style="medium">
        <color rgb="FFA51C36"/>
      </bottom>
      <diagonal/>
    </border>
    <border>
      <left/>
      <right/>
      <top/>
      <bottom style="thin">
        <color rgb="FFE7C9D2"/>
      </bottom>
      <diagonal/>
    </border>
    <border>
      <left/>
      <right style="thin">
        <color rgb="FFFFFFFF"/>
      </right>
      <top/>
      <bottom style="medium">
        <color rgb="FFA51C36"/>
      </bottom>
      <diagonal/>
    </border>
    <border>
      <left style="thin">
        <color rgb="FFFFFFFF"/>
      </left>
      <right style="thin">
        <color rgb="FFFFFFFF"/>
      </right>
      <top/>
      <bottom style="medium">
        <color rgb="FFA51C36"/>
      </bottom>
      <diagonal/>
    </border>
    <border>
      <left style="thin">
        <color rgb="FFFFFFFF"/>
      </left>
      <right/>
      <top/>
      <bottom style="medium">
        <color rgb="FFA51C36"/>
      </bottom>
      <diagonal/>
    </border>
    <border>
      <left style="thin">
        <color rgb="FFD8CDD1"/>
      </left>
      <right/>
      <top style="thin">
        <color rgb="FFD8CDD1"/>
      </top>
      <bottom/>
      <diagonal/>
    </border>
    <border>
      <left/>
      <right style="thin">
        <color rgb="FFD8CDD1"/>
      </right>
      <top style="thin">
        <color rgb="FFD8CDD1"/>
      </top>
      <bottom/>
      <diagonal/>
    </border>
    <border>
      <left/>
      <right/>
      <top/>
      <bottom style="hair">
        <color rgb="FFD8CDD1"/>
      </bottom>
      <diagonal/>
    </border>
    <border>
      <left style="thin">
        <color rgb="FFD8CDD1"/>
      </left>
      <right/>
      <top/>
      <bottom/>
      <diagonal/>
    </border>
    <border>
      <left/>
      <right style="thin">
        <color rgb="FFD8CDD1"/>
      </right>
      <top/>
      <bottom/>
      <diagonal/>
    </border>
    <border>
      <left/>
      <right/>
      <top style="hair">
        <color rgb="FFD8CDD1"/>
      </top>
      <bottom style="hair">
        <color rgb="FFD8CDD1"/>
      </bottom>
      <diagonal/>
    </border>
    <border>
      <left style="thin">
        <color rgb="FFD8CDD1"/>
      </left>
      <right/>
      <top/>
      <bottom style="thin">
        <color rgb="FFD8CDD1"/>
      </bottom>
      <diagonal/>
    </border>
    <border>
      <left/>
      <right style="thin">
        <color rgb="FFD8CDD1"/>
      </right>
      <top/>
      <bottom style="thin">
        <color rgb="FFD8CDD1"/>
      </bottom>
      <diagonal/>
    </border>
    <border>
      <left/>
      <right/>
      <top style="hair">
        <color rgb="FFD8CDD1"/>
      </top>
      <bottom style="thin">
        <color rgb="FFD8CDD1"/>
      </bottom>
      <diagonal/>
    </border>
  </borders>
  <cellStyleXfs count="2">
    <xf numFmtId="0" fontId="0" fillId="0" borderId="0">
      <alignment vertical="center"/>
    </xf>
    <xf numFmtId="0" fontId="5" fillId="0" borderId="0"/>
  </cellStyleXfs>
  <cellXfs count="58">
    <xf numFmtId="0" fontId="0" fillId="0" borderId="0" xfId="0" applyAlignment="1">
      <alignment vertical="center"/>
    </xf>
    <xf numFmtId="0" fontId="1" fillId="0" borderId="0" xfId="0" applyNumberFormat="1" applyFont="1" applyFill="1" applyBorder="1" applyAlignment="1">
      <alignment vertical="center"/>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vertical="top" wrapText="1"/>
    </xf>
    <xf numFmtId="178" fontId="3" fillId="3" borderId="0" xfId="0" applyNumberFormat="1" applyFont="1" applyFill="1" applyBorder="1" applyAlignment="1">
      <alignment vertical="top" wrapText="1"/>
    </xf>
    <xf numFmtId="178" fontId="3" fillId="0" borderId="0" xfId="0" applyNumberFormat="1" applyFont="1" applyFill="1" applyBorder="1" applyAlignment="1">
      <alignment vertical="top" wrapText="1"/>
    </xf>
    <xf numFmtId="0" fontId="3" fillId="4" borderId="0" xfId="0" applyNumberFormat="1" applyFont="1" applyFill="1" applyBorder="1" applyAlignment="1">
      <alignment vertical="top" wrapText="1"/>
    </xf>
    <xf numFmtId="178" fontId="3" fillId="4" borderId="0" xfId="0" applyNumberFormat="1" applyFont="1" applyFill="1" applyBorder="1" applyAlignment="1">
      <alignment vertical="top" wrapText="1"/>
    </xf>
    <xf numFmtId="179" fontId="3" fillId="0" borderId="0" xfId="0" applyNumberFormat="1" applyFont="1" applyFill="1" applyBorder="1" applyAlignment="1">
      <alignment vertical="top" wrapText="1"/>
    </xf>
    <xf numFmtId="179" fontId="3" fillId="4" borderId="0" xfId="0" applyNumberFormat="1" applyFont="1" applyFill="1" applyBorder="1" applyAlignment="1">
      <alignment vertical="top" wrapText="1"/>
    </xf>
    <xf numFmtId="178" fontId="3" fillId="5" borderId="0" xfId="0" applyNumberFormat="1" applyFont="1" applyFill="1" applyBorder="1" applyAlignment="1">
      <alignment vertical="top" wrapText="1"/>
    </xf>
    <xf numFmtId="178" fontId="3" fillId="6" borderId="0" xfId="0" applyNumberFormat="1" applyFont="1" applyFill="1" applyBorder="1" applyAlignment="1">
      <alignment vertical="top" wrapText="1"/>
    </xf>
    <xf numFmtId="2" fontId="3" fillId="0" borderId="0" xfId="0" applyNumberFormat="1" applyFont="1" applyFill="1" applyBorder="1" applyAlignment="1">
      <alignment vertical="top" wrapText="1"/>
    </xf>
    <xf numFmtId="2" fontId="3" fillId="4" borderId="0" xfId="0" applyNumberFormat="1" applyFont="1" applyFill="1" applyBorder="1" applyAlignment="1">
      <alignment vertical="top" wrapText="1"/>
    </xf>
    <xf numFmtId="0" fontId="0" fillId="0" borderId="0" xfId="0" applyFill="1" applyAlignment="1">
      <alignment vertical="center"/>
    </xf>
    <xf numFmtId="0" fontId="0" fillId="0" borderId="0" xfId="0" applyFont="1" applyFill="1" applyAlignment="1">
      <alignment vertical="center"/>
    </xf>
    <xf numFmtId="0" fontId="0" fillId="7" borderId="0" xfId="0" applyFill="1" applyAlignment="1">
      <alignment vertical="center"/>
    </xf>
    <xf numFmtId="0" fontId="0" fillId="0" borderId="0" xfId="0" applyFill="1" applyAlignment="1">
      <alignment vertical="center"/>
    </xf>
    <xf numFmtId="0" fontId="0" fillId="8" borderId="0" xfId="0" applyFill="1" applyAlignment="1">
      <alignment vertical="center"/>
    </xf>
    <xf numFmtId="0" fontId="3" fillId="0" borderId="0"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3" fillId="7" borderId="0" xfId="0" applyNumberFormat="1" applyFont="1" applyFill="1" applyBorder="1" applyAlignment="1">
      <alignment vertical="top" wrapText="1"/>
    </xf>
    <xf numFmtId="0" fontId="3" fillId="0" borderId="0" xfId="0" applyNumberFormat="1"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5" fillId="0" borderId="0" xfId="1"/>
    <xf numFmtId="0" fontId="6" fillId="0" borderId="0" xfId="1" applyNumberFormat="1" applyFont="1" applyFill="1" applyBorder="1" applyAlignment="1">
      <alignment vertical="center"/>
    </xf>
    <xf numFmtId="0" fontId="7" fillId="0" borderId="1" xfId="1" applyNumberFormat="1" applyFont="1" applyFill="1" applyBorder="1" applyAlignment="1">
      <alignment vertical="center"/>
    </xf>
    <xf numFmtId="0" fontId="6" fillId="0" borderId="1" xfId="1" applyNumberFormat="1" applyFont="1" applyFill="1" applyBorder="1" applyAlignment="1">
      <alignment vertical="center"/>
    </xf>
    <xf numFmtId="0" fontId="8" fillId="0" borderId="0" xfId="1" applyNumberFormat="1" applyFont="1" applyFill="1" applyBorder="1" applyAlignment="1">
      <alignment vertical="center"/>
    </xf>
    <xf numFmtId="0" fontId="9" fillId="9" borderId="0" xfId="1" applyNumberFormat="1" applyFont="1" applyFill="1" applyBorder="1" applyAlignment="1">
      <alignment horizontal="left" vertical="center"/>
    </xf>
    <xf numFmtId="0" fontId="10" fillId="6" borderId="2" xfId="1" applyNumberFormat="1" applyFont="1" applyFill="1" applyBorder="1" applyAlignment="1">
      <alignment horizontal="center" vertical="center"/>
    </xf>
    <xf numFmtId="0" fontId="11" fillId="10" borderId="0" xfId="1" applyNumberFormat="1" applyFont="1" applyFill="1" applyBorder="1" applyAlignment="1">
      <alignment horizontal="center" vertical="center"/>
    </xf>
    <xf numFmtId="0" fontId="11" fillId="10" borderId="3" xfId="1" applyNumberFormat="1" applyFont="1" applyFill="1" applyBorder="1" applyAlignment="1">
      <alignment horizontal="center" vertical="center" wrapText="1"/>
    </xf>
    <xf numFmtId="0" fontId="11" fillId="10" borderId="4" xfId="1" applyNumberFormat="1" applyFont="1" applyFill="1" applyBorder="1" applyAlignment="1">
      <alignment horizontal="center" vertical="center" wrapText="1"/>
    </xf>
    <xf numFmtId="0" fontId="11" fillId="10" borderId="5" xfId="1" applyNumberFormat="1" applyFont="1" applyFill="1" applyBorder="1" applyAlignment="1">
      <alignment horizontal="center" vertical="center" wrapText="1"/>
    </xf>
    <xf numFmtId="0" fontId="6" fillId="0" borderId="0" xfId="1" applyNumberFormat="1" applyFont="1" applyFill="1" applyBorder="1" applyAlignment="1">
      <alignment horizontal="center" vertical="center"/>
    </xf>
    <xf numFmtId="0" fontId="6" fillId="9" borderId="6" xfId="1" applyNumberFormat="1" applyFont="1" applyFill="1" applyBorder="1" applyAlignment="1">
      <alignment horizontal="center" vertical="center"/>
    </xf>
    <xf numFmtId="0" fontId="6" fillId="9" borderId="7" xfId="1" applyNumberFormat="1" applyFont="1" applyFill="1" applyBorder="1" applyAlignment="1">
      <alignment horizontal="center" vertical="center"/>
    </xf>
    <xf numFmtId="0" fontId="6" fillId="11" borderId="8" xfId="1" applyNumberFormat="1" applyFont="1" applyFill="1" applyBorder="1" applyAlignment="1">
      <alignment horizontal="left" vertical="center"/>
    </xf>
    <xf numFmtId="0" fontId="6" fillId="11" borderId="8" xfId="1" applyNumberFormat="1" applyFont="1" applyFill="1" applyBorder="1" applyAlignment="1">
      <alignment vertical="center"/>
    </xf>
    <xf numFmtId="2" fontId="6" fillId="11" borderId="8" xfId="1" applyNumberFormat="1" applyFont="1" applyFill="1" applyBorder="1" applyAlignment="1">
      <alignment vertical="center"/>
    </xf>
    <xf numFmtId="0" fontId="6" fillId="11" borderId="8" xfId="1" applyNumberFormat="1" applyFont="1" applyFill="1" applyBorder="1" applyAlignment="1">
      <alignment vertical="center" wrapText="1"/>
    </xf>
    <xf numFmtId="0" fontId="6" fillId="12" borderId="8" xfId="1" applyNumberFormat="1" applyFont="1" applyFill="1" applyBorder="1" applyAlignment="1">
      <alignment vertical="center"/>
    </xf>
    <xf numFmtId="0" fontId="6" fillId="11" borderId="9" xfId="1" applyNumberFormat="1" applyFont="1" applyFill="1" applyBorder="1" applyAlignment="1">
      <alignment vertical="center"/>
    </xf>
    <xf numFmtId="1" fontId="6" fillId="11" borderId="10" xfId="1" applyNumberFormat="1" applyFont="1" applyFill="1" applyBorder="1" applyAlignment="1">
      <alignment vertical="center"/>
    </xf>
    <xf numFmtId="0" fontId="6" fillId="11" borderId="11" xfId="1" applyNumberFormat="1" applyFont="1" applyFill="1" applyBorder="1" applyAlignment="1">
      <alignment horizontal="left" vertical="center"/>
    </xf>
    <xf numFmtId="0" fontId="6" fillId="11" borderId="11" xfId="1" applyNumberFormat="1" applyFont="1" applyFill="1" applyBorder="1" applyAlignment="1">
      <alignment vertical="center"/>
    </xf>
    <xf numFmtId="2" fontId="6" fillId="11" borderId="11" xfId="1" applyNumberFormat="1" applyFont="1" applyFill="1" applyBorder="1" applyAlignment="1">
      <alignment vertical="center"/>
    </xf>
    <xf numFmtId="0" fontId="6" fillId="11" borderId="11" xfId="1" applyNumberFormat="1" applyFont="1" applyFill="1" applyBorder="1" applyAlignment="1">
      <alignment vertical="center" wrapText="1"/>
    </xf>
    <xf numFmtId="0" fontId="6" fillId="12" borderId="11" xfId="1" applyNumberFormat="1" applyFont="1" applyFill="1" applyBorder="1" applyAlignment="1">
      <alignment vertical="center"/>
    </xf>
    <xf numFmtId="0" fontId="6" fillId="11" borderId="12" xfId="1" applyNumberFormat="1" applyFont="1" applyFill="1" applyBorder="1" applyAlignment="1">
      <alignment vertical="center"/>
    </xf>
    <xf numFmtId="1" fontId="6" fillId="11" borderId="13" xfId="1" applyNumberFormat="1" applyFont="1" applyFill="1" applyBorder="1" applyAlignment="1">
      <alignment vertical="center"/>
    </xf>
    <xf numFmtId="0" fontId="6" fillId="11" borderId="14" xfId="1" applyNumberFormat="1" applyFont="1" applyFill="1" applyBorder="1" applyAlignment="1">
      <alignment horizontal="left" vertical="center"/>
    </xf>
    <xf numFmtId="0" fontId="6" fillId="11" borderId="14" xfId="1" applyNumberFormat="1" applyFont="1" applyFill="1" applyBorder="1" applyAlignment="1">
      <alignment vertical="center"/>
    </xf>
    <xf numFmtId="2" fontId="6" fillId="11" borderId="14" xfId="1" applyNumberFormat="1" applyFont="1" applyFill="1" applyBorder="1" applyAlignment="1">
      <alignment vertical="center"/>
    </xf>
    <xf numFmtId="0" fontId="6" fillId="11" borderId="14" xfId="1" applyNumberFormat="1" applyFont="1" applyFill="1" applyBorder="1" applyAlignment="1">
      <alignment vertical="center" wrapText="1"/>
    </xf>
    <xf numFmtId="0" fontId="6" fillId="12" borderId="14" xfId="1" applyNumberFormat="1" applyFont="1" applyFill="1" applyBorder="1" applyAlignment="1">
      <alignment vertical="center"/>
    </xf>
  </cellXfs>
  <cellStyles count="2">
    <cellStyle name="Normal" xfId="1" xr:uid="{00000000-0005-0000-0000-000031000000}"/>
    <cellStyle name="常规" xfId="0" builtinId="0"/>
  </cellStyles>
  <dxfs count="77">
    <dxf>
      <font>
        <b/>
        <color rgb="FF9C1C2D"/>
      </font>
      <fill>
        <patternFill patternType="solid">
          <bgColor rgb="FFFCE4E4"/>
        </patternFill>
      </fill>
    </dxf>
    <dxf>
      <font>
        <color rgb="FF9B1C1C"/>
      </font>
      <fill>
        <patternFill patternType="solid">
          <bgColor rgb="FFFCE1DC"/>
        </patternFill>
      </fill>
    </dxf>
    <dxf>
      <font>
        <color rgb="FF376A2D"/>
      </font>
      <fill>
        <patternFill patternType="solid">
          <bgColor rgb="FFE2F0D9"/>
        </patternFill>
      </fill>
    </dxf>
    <dxf>
      <font>
        <b/>
        <color rgb="FF9C1C2D"/>
      </font>
      <fill>
        <patternFill patternType="solid">
          <bgColor rgb="FFFCE4E4"/>
        </patternFill>
      </fill>
    </dxf>
    <dxf>
      <font>
        <i/>
        <color rgb="FF666666"/>
      </font>
      <fill>
        <patternFill patternType="solid">
          <bgColor rgb="FFE7E6E6"/>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76"/>
      <tableStyleElement type="headerRow" dxfId="75"/>
      <tableStyleElement type="totalRow" dxfId="74"/>
      <tableStyleElement type="firstColumn" dxfId="73"/>
      <tableStyleElement type="lastColumn" dxfId="72"/>
      <tableStyleElement type="firstRowStripe" dxfId="71"/>
      <tableStyleElement type="firstColumnStripe" dxfId="70"/>
    </tableStyle>
    <tableStyle name="PivotStylePreset2_Accent1" table="0" count="10" xr9:uid="{267968C8-6FFD-4C36-ACC1-9EA1FD1885CA}">
      <tableStyleElement type="headerRow" dxfId="69"/>
      <tableStyleElement type="totalRow" dxfId="68"/>
      <tableStyleElement type="firstRowStripe" dxfId="67"/>
      <tableStyleElement type="firstColumnStripe" dxfId="66"/>
      <tableStyleElement type="firstSubtotalRow" dxfId="65"/>
      <tableStyleElement type="secondSubtotalRow" dxfId="64"/>
      <tableStyleElement type="firstRowSubheading" dxfId="63"/>
      <tableStyleElement type="secondRowSubheading" dxfId="62"/>
      <tableStyleElement type="pageFieldLabels" dxfId="61"/>
      <tableStyleElement type="pageFieldValues"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tributeDictionaryTable_6" displayName="AttributeDictionaryTable_6" ref="A6:U98" totalsRowShown="0">
  <autoFilter ref="A6:U98" xr:uid="{00000000-0009-0000-0100-000001000000}"/>
  <tableColumns count="21">
    <tableColumn id="1" xr3:uid="{00000000-0010-0000-0000-000001000000}" name="Attribute_ID"/>
    <tableColumn id="2" xr3:uid="{00000000-0010-0000-0000-000002000000}" name="Display_Name_CN"/>
    <tableColumn id="3" xr3:uid="{00000000-0010-0000-0000-000003000000}" name="Display_Name_EN"/>
    <tableColumn id="4" xr3:uid="{00000000-0010-0000-0000-000004000000}" name="Category"/>
    <tableColumn id="5" xr3:uid="{00000000-0010-0000-0000-000005000000}" name="Unit"/>
    <tableColumn id="6" xr3:uid="{00000000-0010-0000-0000-000006000000}" name="Default_Value"/>
    <tableColumn id="7" xr3:uid="{00000000-0010-0000-0000-000007000000}" name="Min_Value"/>
    <tableColumn id="8" xr3:uid="{00000000-0010-0000-0000-000008000000}" name="Max_Value"/>
    <tableColumn id="9" xr3:uid="{00000000-0010-0000-0000-000009000000}" name="Allowed_Operators"/>
    <tableColumn id="10" xr3:uid="{00000000-0010-0000-0000-00000A000000}" name="Stack_Rule"/>
    <tableColumn id="11" xr3:uid="{00000000-0010-0000-0000-00000B000000}" name="Applies_To"/>
    <tableColumn id="12" xr3:uid="{00000000-0010-0000-0000-00000C000000}" name="Stack_Order"/>
    <tableColumn id="13" xr3:uid="{00000000-0010-0000-0000-00000D000000}" name="Designer_Range"/>
    <tableColumn id="14" xr3:uid="{00000000-0010-0000-0000-00000E000000}" name="Warning_Value"/>
    <tableColumn id="15" xr3:uid="{00000000-0010-0000-0000-00000F000000}" name="Formula_or_Rule"/>
    <tableColumn id="16" xr3:uid="{00000000-0010-0000-0000-000010000000}" name="Debug_Name"/>
    <tableColumn id="17" xr3:uid="{00000000-0010-0000-0000-000011000000}" name="Deprecated"/>
    <tableColumn id="18" xr3:uid="{00000000-0010-0000-0000-000012000000}" name="Description"/>
    <tableColumn id="19" xr3:uid="{00000000-0010-0000-0000-000013000000}" name="Design_Note"/>
    <tableColumn id="20" xr3:uid="{00000000-0010-0000-0000-000014000000}" name="Data_Status"/>
    <tableColumn id="21" xr3:uid="{00000000-0010-0000-0000-000015000000}" name="Range_Check">
      <calculatedColumnFormula>IF(A7="","",IF(OR(AND(G7&lt;&gt;"",F7&lt;G7),AND(H7&lt;&gt;"",F7&gt;H7)),"检查范围","正常"))</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1" displayName="T1_" ref="A4:S37" totalsRowShown="0">
  <tableColumns count="19">
    <tableColumn id="1" xr3:uid="{00000000-0010-0000-0100-000001000000}" name="设计ID" dataDxfId="59"/>
    <tableColumn id="2" xr3:uid="{00000000-0010-0000-0100-000002000000}" name="规范名称" dataDxfId="58"/>
    <tableColumn id="3" xr3:uid="{00000000-0010-0000-0100-000003000000}" name="大类" dataDxfId="57"/>
    <tableColumn id="4" xr3:uid="{00000000-0010-0000-0100-000004000000}" name="子类" dataDxfId="56"/>
    <tableColumn id="5" xr3:uid="{00000000-0010-0000-0100-000005000000}" name="内容来源" dataDxfId="55"/>
    <tableColumn id="6" xr3:uid="{00000000-0010-0000-0100-000006000000}" name="原表定位" dataDxfId="54"/>
    <tableColumn id="7" xr3:uid="{00000000-0010-0000-0100-000007000000}" name="原始构思（原文保留）" dataDxfId="53"/>
    <tableColumn id="8" xr3:uid="{00000000-0010-0000-0100-000008000000}" name="规范效果" dataDxfId="52"/>
    <tableColumn id="9" xr3:uid="{00000000-0010-0000-0100-000009000000}" name="触发事件" dataDxfId="51"/>
    <tableColumn id="10" xr3:uid="{00000000-0010-0000-0100-00000A000000}" name="作用目标" dataDxfId="50"/>
    <tableColumn id="11" xr3:uid="{00000000-0010-0000-0100-00000B000000}" name="持续口径" dataDxfId="49"/>
    <tableColumn id="12" xr3:uid="{00000000-0010-0000-0100-00000C000000}" name="终止条件" dataDxfId="48"/>
    <tableColumn id="13" xr3:uid="{00000000-0010-0000-0100-00000D000000}" name="叠加与次数规则" dataDxfId="47"/>
    <tableColumn id="14" xr3:uid="{00000000-0010-0000-0100-00000E000000}" name="建议稀有度" dataDxfId="46"/>
    <tableColumn id="15" xr3:uid="{00000000-0010-0000-0100-00000F000000}" name="代价或负面效果" dataDxfId="45"/>
    <tableColumn id="16" xr3:uid="{00000000-0010-0000-0100-000010000000}" name="平衡备注" dataDxfId="44"/>
    <tableColumn id="17" xr3:uid="{00000000-0010-0000-0100-000011000000}" name="实现备注" dataDxfId="43"/>
    <tableColumn id="18" xr3:uid="{00000000-0010-0000-0100-000012000000}" name="开发优先级" dataDxfId="42"/>
    <tableColumn id="19" xr3:uid="{00000000-0010-0000-0100-000013000000}" name="状态"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2" displayName="T2_" ref="A4:N39" totalsRowShown="0">
  <tableColumns count="14">
    <tableColumn id="1" xr3:uid="{00000000-0010-0000-0200-000001000000}" name="效果ID" dataDxfId="40"/>
    <tableColumn id="2" xr3:uid="{00000000-0010-0000-0200-000002000000}" name="设计ID" dataDxfId="39"/>
    <tableColumn id="3" xr3:uid="{00000000-0010-0000-0200-000003000000}" name="Attribute_ID" dataDxfId="38"/>
    <tableColumn id="4" xr3:uid="{00000000-0010-0000-0200-000004000000}" name="运算" dataDxfId="37"/>
    <tableColumn id="5" xr3:uid="{00000000-0010-0000-0200-000005000000}" name="数值" dataDxfId="36"/>
    <tableColumn id="6" xr3:uid="{00000000-0010-0000-0200-000006000000}" name="单位" dataDxfId="35"/>
    <tableColumn id="7" xr3:uid="{00000000-0010-0000-0200-000007000000}" name="触发事件" dataDxfId="34"/>
    <tableColumn id="8" xr3:uid="{00000000-0010-0000-0200-000008000000}" name="作用域" dataDxfId="33"/>
    <tableColumn id="9" xr3:uid="{00000000-0010-0000-0200-000009000000}" name="时长值" dataDxfId="32"/>
    <tableColumn id="10" xr3:uid="{00000000-0010-0000-0200-00000A000000}" name="时长单位" dataDxfId="31"/>
    <tableColumn id="11" xr3:uid="{00000000-0010-0000-0200-00000B000000}" name="冷却秒" dataDxfId="30"/>
    <tableColumn id="12" xr3:uid="{00000000-0010-0000-0200-00000C000000}" name="触发或层数上限" dataDxfId="29"/>
    <tableColumn id="13" xr3:uid="{00000000-0010-0000-0200-00000D000000}" name="依据" dataDxfId="28"/>
    <tableColumn id="14" xr3:uid="{00000000-0010-0000-0200-00000E000000}" name="参数说明"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3" displayName="T3_" ref="A4:D21" totalsRowShown="0">
  <tableColumns count="4">
    <tableColumn id="1" xr3:uid="{00000000-0010-0000-0300-000001000000}" name="Attribute_ID" dataDxfId="26"/>
    <tableColumn id="2" xr3:uid="{00000000-0010-0000-0300-000002000000}" name="单位" dataDxfId="25"/>
    <tableColumn id="3" xr3:uid="{00000000-0010-0000-0300-000003000000}" name="定义及作用域" dataDxfId="24"/>
    <tableColumn id="4" xr3:uid="{00000000-0010-0000-0300-000004000000}" name="状态" dataDxf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4" displayName="T4_" ref="A4:E13" totalsRowShown="0">
  <tableColumns count="5">
    <tableColumn id="1" xr3:uid="{00000000-0010-0000-0400-000001000000}" name="主题" dataDxfId="22"/>
    <tableColumn id="2" xr3:uid="{00000000-0010-0000-0400-000002000000}" name="分项" dataDxfId="21"/>
    <tableColumn id="3" xr3:uid="{00000000-0010-0000-0400-000003000000}" name="关联" dataDxfId="20"/>
    <tableColumn id="4" xr3:uid="{00000000-0010-0000-0400-000004000000}" name="设计方向或说明" dataDxfId="19"/>
    <tableColumn id="5" xr3:uid="{00000000-0010-0000-0400-000005000000}" name="约束" dataDxfId="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5" displayName="T5_" ref="A4:F21" totalsRowShown="0">
  <tableColumns count="6">
    <tableColumn id="1" xr3:uid="{00000000-0010-0000-0500-000001000000}" name="规则ID" dataDxfId="17"/>
    <tableColumn id="2" xr3:uid="{00000000-0010-0000-0500-000002000000}" name="环节" dataDxfId="16"/>
    <tableColumn id="3" xr3:uid="{00000000-0010-0000-0500-000003000000}" name="依据级别" dataDxfId="15"/>
    <tableColumn id="4" xr3:uid="{00000000-0010-0000-0500-000004000000}" name="规范规则" dataDxfId="14"/>
    <tableColumn id="5" xr3:uid="{00000000-0010-0000-0500-000005000000}" name="待确认或边界" dataDxfId="13"/>
    <tableColumn id="6" xr3:uid="{00000000-0010-0000-0500-000006000000}" name="关联设计" dataDxfId="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6" displayName="T6_" ref="A4:G17" totalsRowShown="0">
  <tableColumns count="7">
    <tableColumn id="1" xr3:uid="{00000000-0010-0000-0600-000001000000}" name="测试项" dataDxfId="11"/>
    <tableColumn id="2" xr3:uid="{00000000-0010-0000-0600-000002000000}" name="输入A" dataDxfId="10"/>
    <tableColumn id="3" xr3:uid="{00000000-0010-0000-0600-000003000000}" name="输入B" dataDxfId="9"/>
    <tableColumn id="4" xr3:uid="{00000000-0010-0000-0600-000004000000}" name="输入C" dataDxfId="8"/>
    <tableColumn id="5" xr3:uid="{00000000-0010-0000-0600-000005000000}" name="计算结果" dataDxfId="7">
      <calculatedColumnFormula>SUM('00_ATTRIBUTE_DICTIONARY (2)'!F22:F25)</calculatedColumnFormula>
    </tableColumn>
    <tableColumn id="6" xr3:uid="{00000000-0010-0000-0600-000006000000}" name="单位或含义" dataDxfId="6"/>
    <tableColumn id="7" xr3:uid="{00000000-0010-0000-0600-000007000000}" name="判定与用途" dataDxfId="5"/>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ns0:worksheet xmlns:ns0="http://schemas.openxmlformats.org/spreadsheetml/2006/main" xmlns:ns1="http://schemas.openxmlformats.org/markup-compatibility/2006" xmlns:ns2="http://schemas.microsoft.com/office/spreadsheetml/2014/revision" xmlns:ns3="http://schemas.openxmlformats.org/officeDocument/2006/relationships" ns1:Ignorable="x14ac xr xr2 xr3" ns2:uid="{00000000-0001-0000-0000-000000000000}">
  <ns0:sheetPr>
    <ns0:tabColor rgb="FF4B1728"/>
  </ns0:sheetPr>
  <ns0:dimension ref="A1:X98"/>
  <ns0:sheetViews>
    <ns0:sheetView showGridLines="0" tabSelected="1" workbookViewId="0">
      <ns0:pane xSplit="2" ySplit="6" topLeftCell="C17" activePane="bottomRight" state="frozen"/>
      <ns0:selection pane="topRight"/>
      <ns0:selection pane="bottomLeft"/>
      <ns0:selection pane="bottomRight" activeCell="E34" sqref="E34"/>
    </ns0:sheetView>
  </ns0:sheetViews>
  <ns0:sheetFormatPr defaultColWidth="9.81640625" defaultRowHeight="14"/>
  <ns0:cols>
    <ns0:col min="1" max="1" width="25.08984375" style="25" customWidth="1"/>
    <ns0:col min="2" max="2" width="28.453125" style="25" customWidth="1"/>
    <ns0:col min="3" max="3" width="24" style="25" customWidth="1"/>
    <ns0:col min="4" max="4" width="15.26953125" style="25" customWidth="1"/>
    <ns0:col min="5" max="5" width="10.90625" style="25" customWidth="1"/>
    <ns0:col min="6" max="6" width="14.1796875" style="25" customWidth="1"/>
    <ns0:col min="7" max="8" width="12" style="25" customWidth="1"/>
    <ns0:col min="9" max="9" width="24" style="25" customWidth="1"/>
    <ns0:col min="10" max="11" width="21.81640625" style="25" customWidth="1"/>
    <ns0:col min="12" max="12" width="12" style="25" customWidth="1"/>
    <ns0:col min="13" max="13" width="19.6328125" style="25" customWidth="1"/>
    <ns0:col min="14" max="14" width="14.1796875" style="25" customWidth="1"/>
    <ns0:col min="15" max="15" width="32.7265625" style="25" customWidth="1"/>
    <ns0:col min="16" max="16" width="27.26953125" style="25" customWidth="1"/>
    <ns0:col min="17" max="17" width="13.08984375" style="25" customWidth="1"/>
    <ns0:col min="18" max="18" width="37.08984375" style="25" customWidth="1"/>
    <ns0:col min="19" max="19" width="32.7265625" style="25" customWidth="1"/>
    <ns0:col min="20" max="20" width="14.1796875" style="25" customWidth="1"/>
    <ns0:col min="21" max="21" width="15.26953125" style="25" customWidth="1"/>
    <ns0:col min="22" max="22" width="3.26953125" style="25" customWidth="1"/>
    <ns0:col min="23" max="23" width="16.36328125" style="25" customWidth="1"/>
    <ns0:col min="24" max="24" width="17.453125" style="25" customWidth="1"/>
    <ns0:col min="25" max="16384" width="9.81640625" style="25"/>
  </ns0:cols>
  <ns0:sheetData>
    <ns0:row r="1" spans="1:24" ht="14.5">
      <ns0:c r="A1" s="26"/>
      <ns0:c r="B1" s="26"/>
      <ns0:c r="C1" s="26"/>
      <ns0:c r="D1" s="26"/>
      <ns0:c r="E1" s="26"/>
      <ns0:c r="F1" s="26"/>
      <ns0:c r="G1" s="26"/>
      <ns0:c r="H1" s="26"/>
      <ns0:c r="I1" s="26"/>
      <ns0:c r="J1" s="26"/>
      <ns0:c r="K1" s="26"/>
      <ns0:c r="L1" s="26"/>
      <ns0:c r="M1" s="26"/>
      <ns0:c r="N1" s="26"/>
      <ns0:c r="O1" s="26"/>
      <ns0:c r="P1" s="26"/>
      <ns0:c r="Q1" s="26"/>
      <ns0:c r="R1" s="26"/>
      <ns0:c r="S1" s="26"/>
      <ns0:c r="T1" s="26"/>
      <ns0:c r="U1" s="26"/>
      <ns0:c r="V1" s="26"/>
      <ns0:c r="W1" s="26"/>
      <ns0:c r="X1" s="26"/>
    </ns0:row>
    <ns0:row r="2" spans="1:24" ht="21.5">
      <ns0:c r="A2" s="27" t="s">
        <ns0:v>0</ns0:v>
      </ns0:c>
      <ns0:c r="B2" s="28"/>
      <ns0:c r="C2" s="28"/>
      <ns0:c r="D2" s="28"/>
      <ns0:c r="E2" s="28"/>
      <ns0:c r="F2" s="28"/>
      <ns0:c r="G2" s="28"/>
      <ns0:c r="H2" s="28"/>
      <ns0:c r="I2" s="28"/>
      <ns0:c r="J2" s="28"/>
      <ns0:c r="K2" s="28"/>
      <ns0:c r="L2" s="28"/>
      <ns0:c r="M2" s="28"/>
      <ns0:c r="N2" s="28"/>
      <ns0:c r="O2" s="28"/>
      <ns0:c r="P2" s="28"/>
      <ns0:c r="Q2" s="28"/>
      <ns0:c r="R2" s="28"/>
      <ns0:c r="S2" s="28"/>
      <ns0:c r="T2" s="28"/>
      <ns0:c r="U2" s="28"/>
      <ns0:c r="V2" s="28"/>
      <ns0:c r="W2" s="28"/>
      <ns0:c r="X2" s="28"/>
    </ns0:row>
    <ns0:row r="3" spans="1:24" ht="20" customHeight="1">
      <ns0:c r="A3" s="29" t="s">
        <ns0:v>1</ns0:v>
      </ns0:c>
      <ns0:c r="B3" s="29"/>
      <ns0:c r="C3" s="29"/>
      <ns0:c r="D3" s="29"/>
      <ns0:c r="E3" s="29"/>
      <ns0:c r="F3" s="29"/>
      <ns0:c r="G3" s="29"/>
      <ns0:c r="H3" s="29"/>
      <ns0:c r="I3" s="29"/>
      <ns0:c r="J3" s="29"/>
      <ns0:c r="K3" s="29"/>
      <ns0:c r="L3" s="29"/>
      <ns0:c r="M3" s="29"/>
      <ns0:c r="N3" s="29"/>
      <ns0:c r="O3" s="29"/>
      <ns0:c r="P3" s="29"/>
      <ns0:c r="Q3" s="29"/>
      <ns0:c r="R3" s="29"/>
      <ns0:c r="S3" s="29"/>
      <ns0:c r="T3" s="29"/>
      <ns0:c r="U3" s="29"/>
      <ns0:c r="V3" s="29"/>
      <ns0:c r="W3" s="29"/>
      <ns0:c r="X3" s="29"/>
    </ns0:row>
    <ns0:row r="4" spans="1:24" ht="16.5">
      <ns0:c r="A4" s="30" t="s">
        <ns0:v>2</ns0:v>
      </ns0:c>
      <ns0:c r="B4" s="31">
        <ns0:f>COUNTA(A7:A98)</ns0:f>
        <ns0:v>34</ns0:v>
      </ns0:c>
      <ns0:c r="C4" s="26"/>
      <ns0:c r="D4" s="30" t="s">
        <ns0:v>3</ns0:v>
      </ns0:c>
      <ns0:c r="E4" s="31">
        <ns0:f>COUNTIF(Q7:Q98,"Yes")</ns0:f>
        <ns0:v>0</ns0:v>
      </ns0:c>
      <ns0:c r="F4" s="26"/>
      <ns0:c r="G4" s="30" t="s">
        <ns0:v>4</ns0:v>
      </ns0:c>
      <ns0:c r="H4" s="31">
        <ns0:f>COUNTIF(U7:U98,"检查范围")</ns0:f>
        <ns0:v>0</ns0:v>
      </ns0:c>
      <ns0:c r="I4" s="26"/>
      <ns0:c r="J4" s="26"/>
      <ns0:c r="K4" s="26"/>
      <ns0:c r="L4" s="26"/>
      <ns0:c r="M4" s="26"/>
      <ns0:c r="N4" s="26"/>
      <ns0:c r="O4" s="26"/>
      <ns0:c r="P4" s="26"/>
      <ns0:c r="Q4" s="26"/>
      <ns0:c r="R4" s="26"/>
      <ns0:c r="S4" s="26"/>
      <ns0:c r="T4" s="26"/>
      <ns0:c r="U4" s="26"/>
      <ns0:c r="V4" s="26"/>
      <ns0:c r="W4" s="26"/>
      <ns0:c r="X4" s="26"/>
    </ns0:row>
    <ns0:row r="5" spans="1:24" ht="14.5">
      <ns0:c r="A5" s="26"/>
      <ns0:c r="B5" s="26"/>
      <ns0:c r="C5" s="26"/>
      <ns0:c r="D5" s="26"/>
      <ns0:c r="E5" s="26"/>
      <ns0:c r="F5" s="26"/>
      <ns0:c r="G5" s="26"/>
      <ns0:c r="H5" s="26"/>
      <ns0:c r="I5" s="26"/>
      <ns0:c r="J5" s="26"/>
      <ns0:c r="K5" s="26"/>
      <ns0:c r="L5" s="26"/>
      <ns0:c r="M5" s="26"/>
      <ns0:c r="N5" s="26"/>
      <ns0:c r="O5" s="26"/>
      <ns0:c r="P5" s="26"/>
      <ns0:c r="Q5" s="26"/>
      <ns0:c r="R5" s="26"/>
      <ns0:c r="S5" s="26"/>
      <ns0:c r="T5" s="26"/>
      <ns0:c r="U5" s="26"/>
      <ns0:c r="V5" s="26"/>
      <ns0:c r="W5" s="32" t="s">
        <ns0:v>5</ns0:v>
      </ns0:c>
      <ns0:c r="X5" s="32" t="s">
        <ns0:v>6</ns0:v>
      </ns0:c>
    </ns0:row>
    <ns0:row r="6" spans="1:24" ht="42" customHeight="1">
      <ns0:c r="A6" s="33" t="s">
        <ns0:v>7</ns0:v>
      </ns0:c>
      <ns0:c r="B6" s="34" t="s">
        <ns0:v>8</ns0:v>
      </ns0:c>
      <ns0:c r="C6" s="34" t="s">
        <ns0:v>9</ns0:v>
      </ns0:c>
      <ns0:c r="D6" s="34" t="s">
        <ns0:v>10</ns0:v>
      </ns0:c>
      <ns0:c r="E6" s="34" t="s">
        <ns0:v>11</ns0:v>
      </ns0:c>
      <ns0:c r="F6" s="34" t="s">
        <ns0:v>12</ns0:v>
      </ns0:c>
      <ns0:c r="G6" s="34" t="s">
        <ns0:v>13</ns0:v>
      </ns0:c>
      <ns0:c r="H6" s="34" t="s">
        <ns0:v>14</ns0:v>
      </ns0:c>
      <ns0:c r="I6" s="34" t="s">
        <ns0:v>15</ns0:v>
      </ns0:c>
      <ns0:c r="J6" s="34" t="s">
        <ns0:v>16</ns0:v>
      </ns0:c>
      <ns0:c r="K6" s="34" t="s">
        <ns0:v>17</ns0:v>
      </ns0:c>
      <ns0:c r="L6" s="34" t="s">
        <ns0:v>18</ns0:v>
      </ns0:c>
      <ns0:c r="M6" s="34" t="s">
        <ns0:v>19</ns0:v>
      </ns0:c>
      <ns0:c r="N6" s="34" t="s">
        <ns0:v>20</ns0:v>
      </ns0:c>
      <ns0:c r="O6" s="34" t="s">
        <ns0:v>21</ns0:v>
      </ns0:c>
      <ns0:c r="P6" s="34" t="s">
        <ns0:v>22</ns0:v>
      </ns0:c>
      <ns0:c r="Q6" s="34" t="s">
        <ns0:v>23</ns0:v>
      </ns0:c>
      <ns0:c r="R6" s="34" t="s">
        <ns0:v>24</ns0:v>
      </ns0:c>
      <ns0:c r="S6" s="34" t="s">
        <ns0:v>25</ns0:v>
      </ns0:c>
      <ns0:c r="T6" s="34" t="s">
        <ns0:v>26</ns0:v>
      </ns0:c>
      <ns0:c r="U6" s="35" t="s">
        <ns0:v>27</ns0:v>
      </ns0:c>
      <ns0:c r="V6" s="36"/>
      <ns0:c r="W6" s="37" t="s">
        <ns0:v>28</ns0:v>
      </ns0:c>
      <ns0:c r="X6" s="38" t="s">
        <ns0:v>29</ns0:v>
      </ns0:c>
    </ns0:row>
    <ns0:row r="7" spans="1:24" ht="28" customHeight="1">
      <ns0:c r="A7" s="39" t="s">
        <ns0:v>30</ns0:v>
      </ns0:c>
      <ns0:c r="B7" s="39" t="s">
        <ns0:v>31</ns0:v>
      </ns0:c>
      <ns0:c r="C7" s="39" t="s">
        <ns0:v>32</ns0:v>
      </ns0:c>
      <ns0:c r="D7" s="40" t="s">
        <ns0:v>33</ns0:v>
      </ns0:c>
      <ns0:c r="E7" s="40" t="s">
        <ns0:v>34</ns0:v>
      </ns0:c>
      <ns0:c r="F7" s="41">
        <ns0:v>1</ns0:v>
      </ns0:c>
      <ns0:c r="G7" s="41">
        <ns0:v>0.1</ns0:v>
      </ns0:c>
      <ns0:c r="H7" s="41">
        <ns0:v>20</ns0:v>
      </ns0:c>
      <ns0:c r="I7" s="40" t="s">
        <ns0:v>35</ns0:v>
      </ns0:c>
      <ns0:c r="J7" s="40" t="s">
        <ns0:v>36</ns0:v>
      </ns0:c>
      <ns0:c r="K7" s="40" t="s">
        <ns0:v>37</ns0:v>
      </ns0:c>
      <ns0:c r="L7" s="40">
        <ns0:v>20</ns0:v>
      </ns0:c>
      <ns0:c r="M7" s="40" t="s">
        <ns0:v>38</ns0:v>
      </ns0:c>
      <ns0:c r="N7" s="41">
        <ns0:v>10</ns0:v>
      </ns0:c>
      <ns0:c r="O7" s="40" t="s">
        <ns0:v>39</ns0:v>
      </ns0:c>
      <ns0:c r="P7" s="40" t="s">
        <ns0:v>40</ns0:v>
      </ns0:c>
      <ns0:c r="Q7" s="40" t="s">
        <ns0:v>41</ns0:v>
      </ns0:c>
      <ns0:c r="R7" s="42" t="s">
        <ns0:v>42</ns0:v>
      </ns0:c>
      <ns0:c r="S7" s="42" t="s">
        <ns0:v>43</ns0:v>
      </ns0:c>
      <ns0:c r="T7" s="40" t="s">
        <ns0:v>44</ns0:v>
      </ns0:c>
      <ns0:c r="U7" s="43" t="str">
        <ns0:f t="shared" ref="U7:U62" si="0">IF(A7="","",IF(OR(AND(G7&lt;&gt;"",F7&lt;G7),AND(H7&lt;&gt;"",F7&gt;H7)),"检查范围","正常"))</ns0:f>
        <ns0:v>正常</ns0:v>
      </ns0:c>
      <ns0:c r="V7" s="26"/>
      <ns0:c r="W7" s="44" t="s">
        <ns0:v>45</ns0:v>
      </ns0:c>
      <ns0:c r="X7" s="45">
        <ns0:v>10</ns0:v>
      </ns0:c>
    </ns0:row>
    <ns0:row r="8" spans="1:24" ht="28" customHeight="1">
      <ns0:c r="A8" s="46" t="s">
        <ns0:v>46</ns0:v>
      </ns0:c>
      <ns0:c r="B8" s="46" t="s">
        <ns0:v>47</ns0:v>
      </ns0:c>
      <ns0:c r="C8" s="46" t="s">
        <ns0:v>48</ns0:v>
      </ns0:c>
      <ns0:c r="D8" s="47" t="s">
        <ns0:v>33</ns0:v>
      </ns0:c>
      <ns0:c r="E8" s="47" t="s">
        <ns0:v>49</ns0:v>
      </ns0:c>
      <ns0:c r="F8" s="48">
        <ns0:v>1</ns0:v>
      </ns0:c>
      <ns0:c r="G8" s="48">
        <ns0:v>0</ns0:v>
      </ns0:c>
      <ns0:c r="H8" s="48">
        <ns0:v>3</ns0:v>
      </ns0:c>
      <ns0:c r="I8" s="47" t="s">
        <ns0:v>35</ns0:v>
      </ns0:c>
      <ns0:c r="J8" s="47" t="s">
        <ns0:v>50</ns0:v>
      </ns0:c>
      <ns0:c r="K8" s="47" t="s">
        <ns0:v>51</ns0:v>
      </ns0:c>
      <ns0:c r="L8" s="47">
        <ns0:v>30</ns0:v>
      </ns0:c>
      <ns0:c r="M8" s="47" t="s">
        <ns0:v>52</ns0:v>
      </ns0:c>
      <ns0:c r="N8" s="48">
        <ns0:v>2</ns0:v>
      </ns0:c>
      <ns0:c r="O8" s="47" t="s">
        <ns0:v>53</ns0:v>
      </ns0:c>
      <ns0:c r="P8" s="47" t="s">
        <ns0:v>54</ns0:v>
      </ns0:c>
      <ns0:c r="Q8" s="47" t="s">
        <ns0:v>41</ns0:v>
      </ns0:c>
      <ns0:c r="R8" s="49" t="s">
        <ns0:v>55</ns0:v>
      </ns0:c>
      <ns0:c r="S8" s="49" t="s">
        <ns0:v>56</ns0:v>
      </ns0:c>
      <ns0:c r="T8" s="47" t="s">
        <ns0:v>57</ns0:v>
      </ns0:c>
      <ns0:c r="U8" s="50" t="str">
        <ns0:f t="shared" si="0"/>
        <ns0:v>正常</ns0:v>
      </ns0:c>
      <ns0:c r="V8" s="26"/>
      <ns0:c r="W8" s="44" t="s">
        <ns0:v>58</ns0:v>
      </ns0:c>
      <ns0:c r="X8" s="45">
        <ns0:v>18</ns0:v>
      </ns0:c>
    </ns0:row>
    <ns0:row r="9" spans="1:24" ht="28" customHeight="1">
      <ns0:c r="A9" s="46" t="s">
        <ns0:v>65</ns0:v>
      </ns0:c>
      <ns0:c r="B9" s="46" t="s">
        <ns0:v>66</ns0:v>
      </ns0:c>
      <ns0:c r="C9" s="46" t="s">
        <ns0:v>67</ns0:v>
      </ns0:c>
      <ns0:c r="D9" s="47" t="s">
        <ns0:v>34</ns0:v>
      </ns0:c>
      <ns0:c r="E9" s="47" t="s">
        <ns0:v>68</ns0:v>
      </ns0:c>
      <ns0:c r="F9" s="48">
        <ns0:v>1</ns0:v>
      </ns0:c>
      <ns0:c r="G9" s="48">
        <ns0:v>1</ns0:v>
      </ns0:c>
      <ns0:c r="H9" s="48">
        <ns0:v>100</ns0:v>
      </ns0:c>
      <ns0:c r="I9" s="47" t="s">
        <ns0:v>35</ns0:v>
      </ns0:c>
      <ns0:c r="J9" s="47" t="s">
        <ns0:v>50</ns0:v>
      </ns0:c>
      <ns0:c r="K9" s="47" t="s">
        <ns0:v>37</ns0:v>
      </ns0:c>
      <ns0:c r="L9" s="47">
        <ns0:v>20</ns0:v>
      </ns0:c>
      <ns0:c r="M9" s="47" t="s">
        <ns0:v>69</ns0:v>
      </ns0:c>
      <ns0:c r="N9" s="48">
        <ns0:v>20</ns0:v>
      </ns0:c>
      <ns0:c r="O9" s="47" t="s">
        <ns0:v>981</ns0:v>
      </ns0:c>
      <ns0:c r="P9" s="47" t="s">
        <ns0:v>70</ns0:v>
      </ns0:c>
      <ns0:c r="Q9" s="47" t="s">
        <ns0:v>41</ns0:v>
      </ns0:c>
      <ns0:c r="R9" s="49" t="s">
        <ns0:v>71</ns0:v>
      </ns0:c>
      <ns0:c r="S9" s="49" t="s">
        <ns0:v>72</ns0:v>
      </ns0:c>
      <ns0:c r="T9" s="47" t="s">
        <ns0:v>44</ns0:v>
      </ns0:c>
      <ns0:c r="U9" s="50" t="str">
        <ns0:f t="shared" si="0"/>
        <ns0:v>正常</ns0:v>
      </ns0:c>
      <ns0:c r="V9" s="26"/>
      <ns0:c r="W9" s="51" t="s">
        <ns0:v>73</ns0:v>
      </ns0:c>
      <ns0:c r="X9" s="52">
        <ns0:v>80</ns0:v>
      </ns0:c>
    </ns0:row>
    <ns0:row r="10" spans="1:24" ht="28" customHeight="1">
      <ns0:c r="A10" s="46" t="s">
        <ns0:v>74</ns0:v>
      </ns0:c>
      <ns0:c r="B10" s="46" t="s">
        <ns0:v>75</ns0:v>
      </ns0:c>
      <ns0:c r="C10" s="46" t="s">
        <ns0:v>76</ns0:v>
      </ns0:c>
      <ns0:c r="D10" s="47" t="s">
        <ns0:v>77</ns0:v>
      </ns0:c>
      <ns0:c r="E10" s="47" t="s">
        <ns0:v>77</ns0:v>
      </ns0:c>
      <ns0:c r="F10" s="48">
        <ns0:v>10</ns0:v>
      </ns0:c>
      <ns0:c r="G10" s="48">
        <ns0:v>0</ns0:v>
      </ns0:c>
      <ns0:c r="H10" s="48">
        <ns0:v>10000</ns0:v>
      </ns0:c>
      <ns0:c r="I10" s="47" t="s">
        <ns0:v>35</ns0:v>
      </ns0:c>
      <ns0:c r="J10" s="47" t="s">
        <ns0:v>50</ns0:v>
      </ns0:c>
      <ns0:c r="K10" s="47" t="s">
        <ns0:v>37</ns0:v>
      </ns0:c>
      <ns0:c r="L10" s="47">
        <ns0:v>30</ns0:v>
      </ns0:c>
      <ns0:c r="M10" s="47" t="s">
        <ns0:v>78</ns0:v>
      </ns0:c>
      <ns0:c r="N10" s="48">
        <ns0:v>200</ns0:v>
      </ns0:c>
      <ns0:c r="O10" s="47" t="s">
        <ns0:v>79</ns0:v>
      </ns0:c>
      <ns0:c r="P10" s="47" t="s">
        <ns0:v>80</ns0:v>
      </ns0:c>
      <ns0:c r="Q10" s="47" t="s">
        <ns0:v>41</ns0:v>
      </ns0:c>
      <ns0:c r="R10" s="49" t="s">
        <ns0:v>81</ns0:v>
      </ns0:c>
      <ns0:c r="S10" s="49" t="s">
        <ns0:v>82</ns0:v>
      </ns0:c>
      <ns0:c r="T10" s="47" t="s">
        <ns0:v>44</ns0:v>
      </ns0:c>
      <ns0:c r="U10" s="50" t="str">
        <ns0:f t="shared" si="0"/>
        <ns0:v>正常</ns0:v>
      </ns0:c>
      <ns0:c r="V10" s="26"/>
      <ns0:c r="W10" s="26"/>
      <ns0:c r="X10" s="26"/>
    </ns0:row>
    <ns0:row r="11" spans="1:24" ht="28" customHeight="1">
      <ns0:c r="A11" s="46" t="s">
        <ns0:v>83</ns0:v>
      </ns0:c>
      <ns0:c r="B11" s="46" t="s">
        <ns0:v>84</ns0:v>
      </ns0:c>
      <ns0:c r="C11" s="46" t="s">
        <ns0:v>85</ns0:v>
      </ns0:c>
      <ns0:c r="D11" s="47" t="s">
        <ns0:v>86</ns0:v>
      </ns0:c>
      <ns0:c r="E11" s="47" t="s">
        <ns0:v>87</ns0:v>
      </ns0:c>
      <ns0:c r="F11" s="48">
        <ns0:v>1</ns0:v>
      </ns0:c>
      <ns0:c r="G11" s="48">
        <ns0:v>0</ns0:v>
      </ns0:c>
      <ns0:c r="H11" s="48">
        <ns0:v>5</ns0:v>
      </ns0:c>
      <ns0:c r="I11" s="47" t="s">
        <ns0:v>35</ns0:v>
      </ns0:c>
      <ns0:c r="J11" s="47" t="s">
        <ns0:v>50</ns0:v>
      </ns0:c>
      <ns0:c r="K11" s="47" t="s">
        <ns0:v>37</ns0:v>
      </ns0:c>
      <ns0:c r="L11" s="47">
        <ns0:v>30</ns0:v>
      </ns0:c>
      <ns0:c r="M11" s="47" t="s">
        <ns0:v>88</ns0:v>
      </ns0:c>
      <ns0:c r="N11" s="48">
        <ns0:v>2.5</ns0:v>
      </ns0:c>
      <ns0:c r="O11" s="47" t="s">
        <ns0:v>89</ns0:v>
      </ns0:c>
      <ns0:c r="P11" s="47" t="s">
        <ns0:v>90</ns0:v>
      </ns0:c>
      <ns0:c r="Q11" s="47" t="s">
        <ns0:v>41</ns0:v>
      </ns0:c>
      <ns0:c r="R11" s="49" t="s">
        <ns0:v>91</ns0:v>
      </ns0:c>
      <ns0:c r="S11" s="49" t="s">
        <ns0:v>92</ns0:v>
      </ns0:c>
      <ns0:c r="T11" s="47" t="s">
        <ns0:v>57</ns0:v>
      </ns0:c>
      <ns0:c r="U11" s="50" t="str">
        <ns0:f t="shared" si="0"/>
        <ns0:v>正常</ns0:v>
      </ns0:c>
      <ns0:c r="V11" s="26"/>
      <ns0:c r="W11" s="26"/>
      <ns0:c r="X11" s="26"/>
    </ns0:row>
    <ns0:row r="12" spans="1:24" ht="28" customHeight="1">
      <ns0:c r="A12" s="46" t="s">
        <ns0:v>93</ns0:v>
      </ns0:c>
      <ns0:c r="B12" s="46" t="s">
        <ns0:v>94</ns0:v>
      </ns0:c>
      <ns0:c r="C12" s="46" t="s">
        <ns0:v>95</ns0:v>
      </ns0:c>
      <ns0:c r="D12" s="47" t="s">
        <ns0:v>96</ns0:v>
      </ns0:c>
      <ns0:c r="E12" s="47" t="s">
        <ns0:v>97</ns0:v>
      </ns0:c>
      <ns0:c r="F12" s="48">
        <ns0:v>1</ns0:v>
      </ns0:c>
      <ns0:c r="G12" s="48">
        <ns0:v>0</ns0:v>
      </ns0:c>
      <ns0:c r="H12" s="48">
        <ns0:v>100</ns0:v>
      </ns0:c>
      <ns0:c r="I12" s="47" t="s">
        <ns0:v>35</ns0:v>
      </ns0:c>
      <ns0:c r="J12" s="47" t="s">
        <ns0:v>50</ns0:v>
      </ns0:c>
      <ns0:c r="K12" s="47" t="s">
        <ns0:v>37</ns0:v>
      </ns0:c>
      <ns0:c r="L12" s="47">
        <ns0:v>20</ns0:v>
      </ns0:c>
      <ns0:c r="M12" s="47" t="s">
        <ns0:v>98</ns0:v>
      </ns0:c>
      <ns0:c r="N12" s="48">
        <ns0:v>15</ns0:v>
      </ns0:c>
      <ns0:c r="O12" s="47" t="s">
        <ns0:v>99</ns0:v>
      </ns0:c>
      <ns0:c r="P12" s="47" t="s">
        <ns0:v>100</ns0:v>
      </ns0:c>
      <ns0:c r="Q12" s="47" t="s">
        <ns0:v>41</ns0:v>
      </ns0:c>
      <ns0:c r="R12" s="49" t="s">
        <ns0:v>101</ns0:v>
      </ns0:c>
      <ns0:c r="S12" s="49" t="s">
        <ns0:v>102</ns0:v>
      </ns0:c>
      <ns0:c r="T12" s="47" t="s">
        <ns0:v>57</ns0:v>
      </ns0:c>
      <ns0:c r="U12" s="50" t="str">
        <ns0:f t="shared" si="0"/>
        <ns0:v>正常</ns0:v>
      </ns0:c>
      <ns0:c r="V12" s="26"/>
      <ns0:c r="W12" s="26"/>
      <ns0:c r="X12" s="26"/>
    </ns0:row>
    <ns0:row r="13" spans="1:24" ht="28" customHeight="1">
      <ns0:c r="A13" s="46" t="s">
        <ns0:v>103</ns0:v>
      </ns0:c>
      <ns0:c r="B13" s="46" t="s">
        <ns0:v>104</ns0:v>
      </ns0:c>
      <ns0:c r="C13" s="46" t="s">
        <ns0:v>105</ns0:v>
      </ns0:c>
      <ns0:c r="D13" s="47" t="s">
        <ns0:v>106</ns0:v>
      </ns0:c>
      <ns0:c r="E13" s="47" t="s">
        <ns0:v>97</ns0:v>
      </ns0:c>
      <ns0:c r="F13" s="48">
        <ns0:v>0.5</ns0:v>
      </ns0:c>
      <ns0:c r="G13" s="48">
        <ns0:v>0.1</ns0:v>
      </ns0:c>
      <ns0:c r="H13" s="48">
        <ns0:v>3</ns0:v>
      </ns0:c>
      <ns0:c r="I13" s="47" t="s">
        <ns0:v>35</ns0:v>
      </ns0:c>
      <ns0:c r="J13" s="47" t="s">
        <ns0:v>50</ns0:v>
      </ns0:c>
      <ns0:c r="K13" s="47" t="s">
        <ns0:v>37</ns0:v>
      </ns0:c>
      <ns0:c r="L13" s="47">
        <ns0:v>10</ns0:v>
      </ns0:c>
      <ns0:c r="M13" s="47" t="s">
        <ns0:v>107</ns0:v>
      </ns0:c>
      <ns0:c r="N13" s="48">
        <ns0:v>1.5</ns0:v>
      </ns0:c>
      <ns0:c r="O13" s="47" t="s">
        <ns0:v>108</ns0:v>
      </ns0:c>
      <ns0:c r="P13" s="47" t="s">
        <ns0:v>109</ns0:v>
      </ns0:c>
      <ns0:c r="Q13" s="47" t="s">
        <ns0:v>41</ns0:v>
      </ns0:c>
      <ns0:c r="R13" s="49" t="s">
        <ns0:v>110</ns0:v>
      </ns0:c>
      <ns0:c r="S13" s="49" t="s">
        <ns0:v>111</ns0:v>
      </ns0:c>
      <ns0:c r="T13" s="47" t="s">
        <ns0:v>57</ns0:v>
      </ns0:c>
      <ns0:c r="U13" s="50" t="str">
        <ns0:f t="shared" si="0"/>
        <ns0:v>正常</ns0:v>
      </ns0:c>
      <ns0:c r="V13" s="26"/>
      <ns0:c r="W13" s="26"/>
      <ns0:c r="X13" s="26"/>
    </ns0:row>
    <ns0:row r="14" spans="1:24" ht="28" customHeight="1">
      <ns0:c r="A14" s="46" t="s">
        <ns0:v>112</ns0:v>
      </ns0:c>
      <ns0:c r="B14" s="46" t="s">
        <ns0:v>113</ns0:v>
      </ns0:c>
      <ns0:c r="C14" s="46" t="s">
        <ns0:v>114</ns0:v>
      </ns0:c>
      <ns0:c r="D14" s="47" t="s">
        <ns0:v>106</ns0:v>
      </ns0:c>
      <ns0:c r="E14" s="47" t="s">
        <ns0:v>115</ns0:v>
      </ns0:c>
      <ns0:c r="F14" s="48">
        <ns0:v>1</ns0:v>
      </ns0:c>
      <ns0:c r="G14" s="48">
        <ns0:v>0.1</ns0:v>
      </ns0:c>
      <ns0:c r="H14" s="48">
        <ns0:v>20</ns0:v>
      </ns0:c>
      <ns0:c r="I14" s="47" t="s">
        <ns0:v>35</ns0:v>
      </ns0:c>
      <ns0:c r="J14" s="47" t="s">
        <ns0:v>50</ns0:v>
      </ns0:c>
      <ns0:c r="K14" s="47" t="s">
        <ns0:v>37</ns0:v>
      </ns0:c>
      <ns0:c r="L14" s="47">
        <ns0:v>10</ns0:v>
      </ns0:c>
      <ns0:c r="M14" s="47" t="s">
        <ns0:v>116</ns0:v>
      </ns0:c>
      <ns0:c r="N14" s="48">
        <ns0:v>8</ns0:v>
      </ns0:c>
      <ns0:c r="O14" s="47" t="s">
        <ns0:v>117</ns0:v>
      </ns0:c>
      <ns0:c r="P14" s="47" t="s">
        <ns0:v>118</ns0:v>
      </ns0:c>
      <ns0:c r="Q14" s="47" t="s">
        <ns0:v>41</ns0:v>
      </ns0:c>
      <ns0:c r="R14" s="49" t="s">
        <ns0:v>119</ns0:v>
      </ns0:c>
      <ns0:c r="S14" s="49" t="s">
        <ns0:v>120</ns0:v>
      </ns0:c>
      <ns0:c r="T14" s="47" t="s">
        <ns0:v>57</ns0:v>
      </ns0:c>
      <ns0:c r="U14" s="50" t="str">
        <ns0:f t="shared" si="0"/>
        <ns0:v>正常</ns0:v>
      </ns0:c>
      <ns0:c r="V14" s="26"/>
      <ns0:c r="W14" s="26"/>
      <ns0:c r="X14" s="26"/>
    </ns0:row>
    <ns0:row r="15" spans="1:24" ht="28" customHeight="1">
      <ns0:c r="A15" s="46" t="s">
        <ns0:v>121</ns0:v>
      </ns0:c>
      <ns0:c r="B15" s="46" t="s">
        <ns0:v>122</ns0:v>
      </ns0:c>
      <ns0:c r="C15" s="46" t="s">
        <ns0:v>123</ns0:v>
      </ns0:c>
      <ns0:c r="D15" s="47" t="s">
        <ns0:v>106</ns0:v>
      </ns0:c>
      <ns0:c r="E15" s="47" t="s">
        <ns0:v>49</ns0:v>
      </ns0:c>
      <ns0:c r="F15" s="48">
        <ns0:v>0.6</ns0:v>
      </ns0:c>
      <ns0:c r="G15" s="48">
        <ns0:v>0</ns0:v>
      </ns0:c>
      <ns0:c r="H15" s="48">
        <ns0:v>2</ns0:v>
      </ns0:c>
      <ns0:c r="I15" s="47" t="s">
        <ns0:v>35</ns0:v>
      </ns0:c>
      <ns0:c r="J15" s="47" t="s">
        <ns0:v>50</ns0:v>
      </ns0:c>
      <ns0:c r="K15" s="47" t="s">
        <ns0:v>37</ns0:v>
      </ns0:c>
      <ns0:c r="L15" s="47">
        <ns0:v>10</ns0:v>
      </ns0:c>
      <ns0:c r="M15" s="47" t="s">
        <ns0:v>124</ns0:v>
      </ns0:c>
      <ns0:c r="N15" s="48">
        <ns0:v>1.5</ns0:v>
      </ns0:c>
      <ns0:c r="O15" s="47" t="s">
        <ns0:v>125</ns0:v>
      </ns0:c>
      <ns0:c r="P15" s="47" t="s">
        <ns0:v>126</ns0:v>
      </ns0:c>
      <ns0:c r="Q15" s="47" t="s">
        <ns0:v>41</ns0:v>
      </ns0:c>
      <ns0:c r="R15" s="49" t="s">
        <ns0:v>127</ns0:v>
      </ns0:c>
      <ns0:c r="S15" s="49" t="s">
        <ns0:v>128</ns0:v>
      </ns0:c>
      <ns0:c r="T15" s="47" t="s">
        <ns0:v>44</ns0:v>
      </ns0:c>
      <ns0:c r="U15" s="50" t="str">
        <ns0:f t="shared" si="0"/>
        <ns0:v>正常</ns0:v>
      </ns0:c>
      <ns0:c r="V15" s="26"/>
      <ns0:c r="W15" s="26"/>
      <ns0:c r="X15" s="26"/>
    </ns0:row>
    <ns0:row r="16" spans="1:24" ht="28" customHeight="1">
      <ns0:c r="A16" s="46" t="s">
        <ns0:v>129</ns0:v>
      </ns0:c>
      <ns0:c r="B16" s="46" t="s">
        <ns0:v>130</ns0:v>
      </ns0:c>
      <ns0:c r="C16" s="46" t="s">
        <ns0:v>131</ns0:v>
      </ns0:c>
      <ns0:c r="D16" s="47" t="s">
        <ns0:v>106</ns0:v>
      </ns0:c>
      <ns0:c r="E16" s="47" t="s">
        <ns0:v>49</ns0:v>
      </ns0:c>
      <ns0:c r="F16" s="48">
        <ns0:v>0.25</ns0:v>
      </ns0:c>
      <ns0:c r="G16" s="48">
        <ns0:v>0</ns0:v>
      </ns0:c>
      <ns0:c r="H16" s="48">
        <ns0:v>2</ns0:v>
      </ns0:c>
      <ns0:c r="I16" s="47" t="s">
        <ns0:v>35</ns0:v>
      </ns0:c>
      <ns0:c r="J16" s="47" t="s">
        <ns0:v>50</ns0:v>
      </ns0:c>
      <ns0:c r="K16" s="47" t="s">
        <ns0:v>37</ns0:v>
      </ns0:c>
      <ns0:c r="L16" s="47">
        <ns0:v>10</ns0:v>
      </ns0:c>
      <ns0:c r="M16" s="47" t="s">
        <ns0:v>132</ns0:v>
      </ns0:c>
      <ns0:c r="N16" s="48">
        <ns0:v>1.2</ns0:v>
      </ns0:c>
      <ns0:c r="O16" s="47" t="s">
        <ns0:v>133</ns0:v>
      </ns0:c>
      <ns0:c r="P16" s="47" t="s">
        <ns0:v>134</ns0:v>
      </ns0:c>
      <ns0:c r="Q16" s="47" t="s">
        <ns0:v>41</ns0:v>
      </ns0:c>
      <ns0:c r="R16" s="49" t="s">
        <ns0:v>135</ns0:v>
      </ns0:c>
      <ns0:c r="S16" s="49" t="s">
        <ns0:v>136</ns0:v>
      </ns0:c>
      <ns0:c r="T16" s="47" t="s">
        <ns0:v>57</ns0:v>
      </ns0:c>
      <ns0:c r="U16" s="50" t="str">
        <ns0:f t="shared" si="0"/>
        <ns0:v>正常</ns0:v>
      </ns0:c>
      <ns0:c r="V16" s="26"/>
      <ns0:c r="W16" s="26"/>
      <ns0:c r="X16" s="26"/>
    </ns0:row>
    <ns0:row r="17" spans="1:24" ht="28" customHeight="1">
      <ns0:c r="A17" s="46" t="s">
        <ns0:v>137</ns0:v>
      </ns0:c>
      <ns0:c r="B17" s="46" t="s">
        <ns0:v>138</ns0:v>
      </ns0:c>
      <ns0:c r="C17" s="46" t="s">
        <ns0:v>139</ns0:v>
      </ns0:c>
      <ns0:c r="D17" s="47" t="s">
        <ns0:v>106</ns0:v>
      </ns0:c>
      <ns0:c r="E17" s="47" t="s">
        <ns0:v>87</ns0:v>
      </ns0:c>
      <ns0:c r="F17" s="48">
        <ns0:v>1</ns0:v>
      </ns0:c>
      <ns0:c r="G17" s="48">
        <ns0:v>0</ns0:v>
      </ns0:c>
      <ns0:c r="H17" s="48">
        <ns0:v>5</ns0:v>
      </ns0:c>
      <ns0:c r="I17" s="47" t="s">
        <ns0:v>35</ns0:v>
      </ns0:c>
      <ns0:c r="J17" s="47" t="s">
        <ns0:v>50</ns0:v>
      </ns0:c>
      <ns0:c r="K17" s="47" t="s">
        <ns0:v>37</ns0:v>
      </ns0:c>
      <ns0:c r="L17" s="47">
        <ns0:v>10</ns0:v>
      </ns0:c>
      <ns0:c r="M17" s="47" t="s">
        <ns0:v>88</ns0:v>
      </ns0:c>
      <ns0:c r="N17" s="48">
        <ns0:v>2.5</ns0:v>
      </ns0:c>
      <ns0:c r="O17" s="47" t="s">
        <ns0:v>140</ns0:v>
      </ns0:c>
      <ns0:c r="P17" s="47" t="s">
        <ns0:v>141</ns0:v>
      </ns0:c>
      <ns0:c r="Q17" s="47" t="s">
        <ns0:v>41</ns0:v>
      </ns0:c>
      <ns0:c r="R17" s="49" t="s">
        <ns0:v>142</ns0:v>
      </ns0:c>
      <ns0:c r="S17" s="49" t="s">
        <ns0:v>143</ns0:v>
      </ns0:c>
      <ns0:c r="T17" s="47" t="s">
        <ns0:v>57</ns0:v>
      </ns0:c>
      <ns0:c r="U17" s="50" t="str">
        <ns0:f t="shared" si="0"/>
        <ns0:v>正常</ns0:v>
      </ns0:c>
      <ns0:c r="V17" s="26"/>
      <ns0:c r="W17" s="26"/>
      <ns0:c r="X17" s="26"/>
    </ns0:row>
    <ns0:row r="18" spans="1:24" ht="28" customHeight="1">
      <ns0:c r="A18" s="46" t="s">
        <ns0:v>144</ns0:v>
      </ns0:c>
      <ns0:c r="B18" s="46" t="s">
        <ns0:v>145</ns0:v>
      </ns0:c>
      <ns0:c r="C18" s="46" t="s">
        <ns0:v>146</ns0:v>
      </ns0:c>
      <ns0:c r="D18" s="47" t="s">
        <ns0:v>106</ns0:v>
      </ns0:c>
      <ns0:c r="E18" s="47" t="s">
        <ns0:v>87</ns0:v>
      </ns0:c>
      <ns0:c r="F18" s="48">
        <ns0:v>1</ns0:v>
      </ns0:c>
      <ns0:c r="G18" s="48">
        <ns0:v>0.2</ns0:v>
      </ns0:c>
      <ns0:c r="H18" s="48">
        <ns0:v>5</ns0:v>
      </ns0:c>
      <ns0:c r="I18" s="47" t="s">
        <ns0:v>35</ns0:v>
      </ns0:c>
      <ns0:c r="J18" s="47" t="s">
        <ns0:v>50</ns0:v>
      </ns0:c>
      <ns0:c r="K18" s="47" t="s">
        <ns0:v>37</ns0:v>
      </ns0:c>
      <ns0:c r="L18" s="47">
        <ns0:v>10</ns0:v>
      </ns0:c>
      <ns0:c r="M18" s="47" t="s">
        <ns0:v>60</ns0:v>
      </ns0:c>
      <ns0:c r="N18" s="48">
        <ns0:v>2.5</ns0:v>
      </ns0:c>
      <ns0:c r="O18" s="47" t="s">
        <ns0:v>147</ns0:v>
      </ns0:c>
      <ns0:c r="P18" s="47" t="s">
        <ns0:v>148</ns0:v>
      </ns0:c>
      <ns0:c r="Q18" s="47" t="s">
        <ns0:v>41</ns0:v>
      </ns0:c>
      <ns0:c r="R18" s="49" t="s">
        <ns0:v>149</ns0:v>
      </ns0:c>
      <ns0:c r="S18" s="49" t="s">
        <ns0:v>150</ns0:v>
      </ns0:c>
      <ns0:c r="T18" s="47" t="s">
        <ns0:v>44</ns0:v>
      </ns0:c>
      <ns0:c r="U18" s="50" t="str">
        <ns0:f t="shared" si="0"/>
        <ns0:v>正常</ns0:v>
      </ns0:c>
      <ns0:c r="V18" s="26"/>
      <ns0:c r="W18" s="26"/>
      <ns0:c r="X18" s="26"/>
    </ns0:row>
    <ns0:row r="19" spans="1:24" ht="28" customHeight="1">
      <ns0:c r="A19" s="46" t="s">
        <ns0:v>151</ns0:v>
      </ns0:c>
      <ns0:c r="B19" s="46" t="s">
        <ns0:v>152</ns0:v>
      </ns0:c>
      <ns0:c r="C19" s="46" t="s">
        <ns0:v>153</ns0:v>
      </ns0:c>
      <ns0:c r="D19" s="47" t="s">
        <ns0:v>106</ns0:v>
      </ns0:c>
      <ns0:c r="E19" s="47" t="s">
        <ns0:v>154</ns0:v>
      </ns0:c>
      <ns0:c r="F19" s="48">
        <ns0:v>12</ns0:v>
      </ns0:c>
      <ns0:c r="G19" s="48">
        <ns0:v>1</ns0:v>
      </ns0:c>
      <ns0:c r="H19" s="48">
        <ns0:v>100</ns0:v>
      </ns0:c>
      <ns0:c r="I19" s="47" t="s">
        <ns0:v>35</ns0:v>
      </ns0:c>
      <ns0:c r="J19" s="47" t="s">
        <ns0:v>50</ns0:v>
      </ns0:c>
      <ns0:c r="K19" s="47" t="s">
        <ns0:v>37</ns0:v>
      </ns0:c>
      <ns0:c r="L19" s="47">
        <ns0:v>10</ns0:v>
      </ns0:c>
      <ns0:c r="M19" s="47" t="s">
        <ns0:v>155</ns0:v>
      </ns0:c>
      <ns0:c r="N19" s="48">
        <ns0:v>45</ns0:v>
      </ns0:c>
      <ns0:c r="O19" s="47" t="s">
        <ns0:v>156</ns0:v>
      </ns0:c>
      <ns0:c r="P19" s="47" t="s">
        <ns0:v>157</ns0:v>
      </ns0:c>
      <ns0:c r="Q19" s="47" t="s">
        <ns0:v>41</ns0:v>
      </ns0:c>
      <ns0:c r="R19" s="49" t="s">
        <ns0:v>158</ns0:v>
      </ns0:c>
      <ns0:c r="S19" s="49" t="s">
        <ns0:v>159</ns0:v>
      </ns0:c>
      <ns0:c r="T19" s="47" t="s">
        <ns0:v>57</ns0:v>
      </ns0:c>
      <ns0:c r="U19" s="50" t="str">
        <ns0:f t="shared" si="0"/>
        <ns0:v>正常</ns0:v>
      </ns0:c>
      <ns0:c r="V19" s="26"/>
      <ns0:c r="W19" s="26"/>
      <ns0:c r="X19" s="26"/>
    </ns0:row>
    <ns0:row r="20" spans="1:24" ht="28" customHeight="1">
      <ns0:c r="A20" s="46" t="s">
        <ns0:v>160</ns0:v>
      </ns0:c>
      <ns0:c r="B20" s="46" t="s">
        <ns0:v>161</ns0:v>
      </ns0:c>
      <ns0:c r="C20" s="46" t="s">
        <ns0:v>162</ns0:v>
      </ns0:c>
      <ns0:c r="D20" s="47" t="s">
        <ns0:v>106</ns0:v>
      </ns0:c>
      <ns0:c r="E20" s="47" t="s">
        <ns0:v>87</ns0:v>
      </ns0:c>
      <ns0:c r="F20" s="48">
        <ns0:v>1</ns0:v>
      </ns0:c>
      <ns0:c r="G20" s="48">
        <ns0:v>0</ns0:v>
      </ns0:c>
      <ns0:c r="H20" s="48">
        <ns0:v>10</ns0:v>
      </ns0:c>
      <ns0:c r="I20" s="47" t="s">
        <ns0:v>35</ns0:v>
      </ns0:c>
      <ns0:c r="J20" s="47" t="s">
        <ns0:v>50</ns0:v>
      </ns0:c>
      <ns0:c r="K20" s="47" t="s">
        <ns0:v>37</ns0:v>
      </ns0:c>
      <ns0:c r="L20" s="47">
        <ns0:v>10</ns0:v>
      </ns0:c>
      <ns0:c r="M20" s="47" t="s">
        <ns0:v>163</ns0:v>
      </ns0:c>
      <ns0:c r="N20" s="48">
        <ns0:v>5</ns0:v>
      </ns0:c>
      <ns0:c r="O20" s="47" t="s">
        <ns0:v>164</ns0:v>
      </ns0:c>
      <ns0:c r="P20" s="47" t="s">
        <ns0:v>165</ns0:v>
      </ns0:c>
      <ns0:c r="Q20" s="47" t="s">
        <ns0:v>41</ns0:v>
      </ns0:c>
      <ns0:c r="R20" s="49" t="s">
        <ns0:v>166</ns0:v>
      </ns0:c>
      <ns0:c r="S20" s="49" t="s">
        <ns0:v>167</ns0:v>
      </ns0:c>
      <ns0:c r="T20" s="47" t="s">
        <ns0:v>61</ns0:v>
      </ns0:c>
      <ns0:c r="U20" s="50" t="str">
        <ns0:f t="shared" si="0"/>
        <ns0:v>正常</ns0:v>
      </ns0:c>
      <ns0:c r="V20" s="26"/>
      <ns0:c r="W20" s="26"/>
      <ns0:c r="X20" s="26"/>
    </ns0:row>
    <ns0:row r="21" spans="1:24" ht="28" customHeight="1">
      <ns0:c r="A21" s="46" t="s">
        <ns0:v>168</ns0:v>
      </ns0:c>
      <ns0:c r="B21" s="46" t="s">
        <ns0:v>169</ns0:v>
      </ns0:c>
      <ns0:c r="C21" s="46" t="s">
        <ns0:v>170</ns0:v>
      </ns0:c>
      <ns0:c r="D21" s="47" t="s">
        <ns0:v>106</ns0:v>
      </ns0:c>
      <ns0:c r="E21" s="47" t="s">
        <ns0:v>171</ns0:v>
      </ns0:c>
      <ns0:c r="F21" s="48">
        <ns0:v>30</ns0:v>
      </ns0:c>
      <ns0:c r="G21" s="48">
        <ns0:v>1</ns0:v>
      </ns0:c>
      <ns0:c r="H21" s="48">
        <ns0:v>180</ns0:v>
      </ns0:c>
      <ns0:c r="I21" s="47" t="s">
        <ns0:v>35</ns0:v>
      </ns0:c>
      <ns0:c r="J21" s="47" t="s">
        <ns0:v>50</ns0:v>
      </ns0:c>
      <ns0:c r="K21" s="47" t="s">
        <ns0:v>37</ns0:v>
      </ns0:c>
      <ns0:c r="L21" s="47">
        <ns0:v>10</ns0:v>
      </ns0:c>
      <ns0:c r="M21" s="47" t="s">
        <ns0:v>172</ns0:v>
      </ns0:c>
      <ns0:c r="N21" s="48">
        <ns0:v>90</ns0:v>
      </ns0:c>
      <ns0:c r="O21" s="47" t="s">
        <ns0:v>173</ns0:v>
      </ns0:c>
      <ns0:c r="P21" s="47" t="s">
        <ns0:v>174</ns0:v>
      </ns0:c>
      <ns0:c r="Q21" s="47" t="s">
        <ns0:v>41</ns0:v>
      </ns0:c>
      <ns0:c r="R21" s="49" t="s">
        <ns0:v>175</ns0:v>
      </ns0:c>
      <ns0:c r="S21" s="49" t="s">
        <ns0:v>176</ns0:v>
      </ns0:c>
      <ns0:c r="T21" s="47" t="s">
        <ns0:v>57</ns0:v>
      </ns0:c>
      <ns0:c r="U21" s="50" t="str">
        <ns0:f t="shared" si="0"/>
        <ns0:v>正常</ns0:v>
      </ns0:c>
      <ns0:c r="V21" s="26"/>
      <ns0:c r="W21" s="26"/>
      <ns0:c r="X21" s="26"/>
    </ns0:row>
    <ns0:row r="22" spans="1:24" ht="28" customHeight="1">
      <ns0:c r="A22" s="46" t="s">
        <ns0:v>177</ns0:v>
      </ns0:c>
      <ns0:c r="B22" s="46" t="s">
        <ns0:v>178</ns0:v>
      </ns0:c>
      <ns0:c r="C22" s="46" t="s">
        <ns0:v>179</ns0:v>
      </ns0:c>
      <ns0:c r="D22" s="47" t="s">
        <ns0:v>106</ns0:v>
      </ns0:c>
      <ns0:c r="E22" s="47" t="s">
        <ns0:v>68</ns0:v>
      </ns0:c>
      <ns0:c r="F22" s="48">
        <ns0:v>0</ns0:v>
      </ns0:c>
      <ns0:c r="G22" s="48">
        <ns0:v>0</ns0:v>
      </ns0:c>
      <ns0:c r="H22" s="48">
        <ns0:v>20</ns0:v>
      </ns0:c>
      <ns0:c r="I22" s="47" t="s">
        <ns0:v>180</ns0:v>
      </ns0:c>
      <ns0:c r="J22" s="47" t="s">
        <ns0:v>181</ns0:v>
      </ns0:c>
      <ns0:c r="K22" s="47" t="s">
        <ns0:v>37</ns0:v>
      </ns0:c>
      <ns0:c r="L22" s="47">
        <ns0:v>20</ns0:v>
      </ns0:c>
      <ns0:c r="M22" s="47" t="s">
        <ns0:v>182</ns0:v>
      </ns0:c>
      <ns0:c r="N22" s="48">
        <ns0:v>8</ns0:v>
      </ns0:c>
      <ns0:c r="O22" s="47" t="s">
        <ns0:v>183</ns0:v>
      </ns0:c>
      <ns0:c r="P22" s="47" t="s">
        <ns0:v>184</ns0:v>
      </ns0:c>
      <ns0:c r="Q22" s="47" t="s">
        <ns0:v>41</ns0:v>
      </ns0:c>
      <ns0:c r="R22" s="49" t="s">
        <ns0:v>185</ns0:v>
      </ns0:c>
      <ns0:c r="S22" s="49" t="s">
        <ns0:v>186</ns0:v>
      </ns0:c>
      <ns0:c r="T22" s="47" t="s">
        <ns0:v>57</ns0:v>
      </ns0:c>
      <ns0:c r="U22" s="50" t="str">
        <ns0:f t="shared" si="0"/>
        <ns0:v>正常</ns0:v>
      </ns0:c>
      <ns0:c r="V22" s="26"/>
      <ns0:c r="W22" s="26"/>
      <ns0:c r="X22" s="26"/>
    </ns0:row>
    <ns0:row r="23" spans="1:24" ht="28" customHeight="1">
      <ns0:c r="A23" s="46" t="s">
        <ns0:v>187</ns0:v>
      </ns0:c>
      <ns0:c r="B23" s="46" t="s">
        <ns0:v>188</ns0:v>
      </ns0:c>
      <ns0:c r="C23" s="46" t="s">
        <ns0:v>189</ns0:v>
      </ns0:c>
      <ns0:c r="D23" s="47" t="s">
        <ns0:v>77</ns0:v>
      </ns0:c>
      <ns0:c r="E23" s="47" t="s">
        <ns0:v>190</ns0:v>
      </ns0:c>
      <ns0:c r="F23" s="48">
        <ns0:v>0.6</ns0:v>
      </ns0:c>
      <ns0:c r="G23" s="48">
        <ns0:v>0</ns0:v>
      </ns0:c>
      <ns0:c r="H23" s="48">
        <ns0:v>1</ns0:v>
      </ns0:c>
      <ns0:c r="I23" s="47" t="s">
        <ns0:v>35</ns0:v>
      </ns0:c>
      <ns0:c r="J23" s="47" t="s">
        <ns0:v>50</ns0:v>
      </ns0:c>
      <ns0:c r="K23" s="47" t="s">
        <ns0:v>37</ns0:v>
      </ns0:c>
      <ns0:c r="L23" s="47">
        <ns0:v>30</ns0:v>
      </ns0:c>
      <ns0:c r="M23" s="47" t="s">
        <ns0:v>191</ns0:v>
      </ns0:c>
      <ns0:c r="N23" s="48">
        <ns0:v>0.9</ns0:v>
      </ns0:c>
      <ns0:c r="O23" s="47" t="s">
        <ns0:v>192</ns0:v>
      </ns0:c>
      <ns0:c r="P23" s="47" t="s">
        <ns0:v>193</ns0:v>
      </ns0:c>
      <ns0:c r="Q23" s="47" t="s">
        <ns0:v>41</ns0:v>
      </ns0:c>
      <ns0:c r="R23" s="49" t="s">
        <ns0:v>194</ns0:v>
      </ns0:c>
      <ns0:c r="S23" s="49" t="s">
        <ns0:v>195</ns0:v>
      </ns0:c>
      <ns0:c r="T23" s="47" t="s">
        <ns0:v>57</ns0:v>
      </ns0:c>
      <ns0:c r="U23" s="50" t="str">
        <ns0:f t="shared" si="0"/>
        <ns0:v>正常</ns0:v>
      </ns0:c>
      <ns0:c r="V23" s="26"/>
      <ns0:c r="W23" s="26"/>
      <ns0:c r="X23" s="26"/>
    </ns0:row>
    <ns0:row r="24" spans="1:24" ht="28" customHeight="1">
      <ns0:c r="A24" s="46" t="s">
        <ns0:v>196</ns0:v>
      </ns0:c>
      <ns0:c r="B24" s="46" t="s">
        <ns0:v>197</ns0:v>
      </ns0:c>
      <ns0:c r="C24" s="46" t="s">
        <ns0:v>198</ns0:v>
      </ns0:c>
      <ns0:c r="D24" s="47" t="s">
        <ns0:v>106</ns0:v>
      </ns0:c>
      <ns0:c r="E24" s="47" t="s">
        <ns0:v>68</ns0:v>
      </ns0:c>
      <ns0:c r="F24" s="48">
        <ns0:v>0</ns0:v>
      </ns0:c>
      <ns0:c r="G24" s="48">
        <ns0:v>0</ns0:v>
      </ns0:c>
      <ns0:c r="H24" s="48">
        <ns0:v>20</ns0:v>
      </ns0:c>
      <ns0:c r="I24" s="47" t="s">
        <ns0:v>180</ns0:v>
      </ns0:c>
      <ns0:c r="J24" s="47" t="s">
        <ns0:v>181</ns0:v>
      </ns0:c>
      <ns0:c r="K24" s="47" t="s">
        <ns0:v>37</ns0:v>
      </ns0:c>
      <ns0:c r="L24" s="47">
        <ns0:v>20</ns0:v>
      </ns0:c>
      <ns0:c r="M24" s="47" t="s">
        <ns0:v>163</ns0:v>
      </ns0:c>
      <ns0:c r="N24" s="48">
        <ns0:v>6</ns0:v>
      </ns0:c>
      <ns0:c r="O24" s="47" t="s">
        <ns0:v>199</ns0:v>
      </ns0:c>
      <ns0:c r="P24" s="47" t="s">
        <ns0:v>200</ns0:v>
      </ns0:c>
      <ns0:c r="Q24" s="47" t="s">
        <ns0:v>41</ns0:v>
      </ns0:c>
      <ns0:c r="R24" s="49" t="s">
        <ns0:v>201</ns0:v>
      </ns0:c>
      <ns0:c r="S24" s="49" t="s">
        <ns0:v>202</ns0:v>
      </ns0:c>
      <ns0:c r="T24" s="47" t="s">
        <ns0:v>61</ns0:v>
      </ns0:c>
      <ns0:c r="U24" s="50" t="str">
        <ns0:f t="shared" si="0"/>
        <ns0:v>正常</ns0:v>
      </ns0:c>
      <ns0:c r="V24" s="26"/>
      <ns0:c r="W24" s="26"/>
      <ns0:c r="X24" s="26"/>
    </ns0:row>
    <ns0:row r="25" spans="1:24" ht="28" customHeight="1">
      <ns0:c r="A25" s="46" t="s">
        <ns0:v>203</ns0:v>
      </ns0:c>
      <ns0:c r="B25" s="46" t="s">
        <ns0:v>204</ns0:v>
      </ns0:c>
      <ns0:c r="C25" s="46" t="s">
        <ns0:v>205</ns0:v>
      </ns0:c>
      <ns0:c r="D25" s="47" t="s">
        <ns0:v>77</ns0:v>
      </ns0:c>
      <ns0:c r="E25" s="47" t="s">
        <ns0:v>87</ns0:v>
      </ns0:c>
      <ns0:c r="F25" s="48">
        <ns0:v>1</ns0:v>
      </ns0:c>
      <ns0:c r="G25" s="48">
        <ns0:v>1</ns0:v>
      </ns0:c>
      <ns0:c r="H25" s="48">
        <ns0:v>100</ns0:v>
      </ns0:c>
      <ns0:c r="I25" s="47" t="s">
        <ns0:v>35</ns0:v>
      </ns0:c>
      <ns0:c r="J25" s="47" t="s">
        <ns0:v>50</ns0:v>
      </ns0:c>
      <ns0:c r="K25" s="47" t="s">
        <ns0:v>206</ns0:v>
      </ns0:c>
      <ns0:c r="L25" s="47">
        <ns0:v>40</ns0:v>
      </ns0:c>
      <ns0:c r="M25" s="47" t="s">
        <ns0:v>207</ns0:v>
      </ns0:c>
      <ns0:c r="N25" s="48">
        <ns0:v>10</ns0:v>
      </ns0:c>
      <ns0:c r="O25" s="47" t="s">
        <ns0:v>208</ns0:v>
      </ns0:c>
      <ns0:c r="P25" s="47" t="s">
        <ns0:v>209</ns0:v>
      </ns0:c>
      <ns0:c r="Q25" s="47" t="s">
        <ns0:v>41</ns0:v>
      </ns0:c>
      <ns0:c r="R25" s="49" t="s">
        <ns0:v>210</ns0:v>
      </ns0:c>
      <ns0:c r="S25" s="49" t="s">
        <ns0:v>211</ns0:v>
      </ns0:c>
      <ns0:c r="T25" s="47" t="s">
        <ns0:v>44</ns0:v>
      </ns0:c>
      <ns0:c r="U25" s="50" t="str">
        <ns0:f t="shared" si="0"/>
        <ns0:v>正常</ns0:v>
      </ns0:c>
      <ns0:c r="V25" s="26"/>
      <ns0:c r="W25" s="26"/>
      <ns0:c r="X25" s="26"/>
    </ns0:row>
    <ns0:row r="26" spans="1:24" ht="28" customHeight="1">
      <ns0:c r="A26" s="46" t="s">
        <ns0:v>212</ns0:v>
      </ns0:c>
      <ns0:c r="B26" s="46" t="s">
        <ns0:v>213</ns0:v>
      </ns0:c>
      <ns0:c r="C26" s="46" t="s">
        <ns0:v>214</ns0:v>
      </ns0:c>
      <ns0:c r="D26" s="47" t="s">
        <ns0:v>77</ns0:v>
      </ns0:c>
      <ns0:c r="E26" s="47" t="s">
        <ns0:v>87</ns0:v>
      </ns0:c>
      <ns0:c r="F26" s="48">
        <ns0:v>1</ns0:v>
      </ns0:c>
      <ns0:c r="G26" s="48">
        <ns0:v>1</ns0:v>
      </ns0:c>
      <ns0:c r="H26" s="48">
        <ns0:v>100</ns0:v>
      </ns0:c>
      <ns0:c r="I26" s="47" t="s">
        <ns0:v>35</ns0:v>
      </ns0:c>
      <ns0:c r="J26" s="47" t="s">
        <ns0:v>50</ns0:v>
      </ns0:c>
      <ns0:c r="K26" s="47" t="s">
        <ns0:v>59</ns0:v>
      </ns0:c>
      <ns0:c r="L26" s="47">
        <ns0:v>50</ns0:v>
      </ns0:c>
      <ns0:c r="M26" s="47" t="s">
        <ns0:v>215</ns0:v>
      </ns0:c>
      <ns0:c r="N26" s="48">
        <ns0:v>5</ns0:v>
      </ns0:c>
      <ns0:c r="O26" s="47" t="s">
        <ns0:v>216</ns0:v>
      </ns0:c>
      <ns0:c r="P26" s="47" t="s">
        <ns0:v>217</ns0:v>
      </ns0:c>
      <ns0:c r="Q26" s="47" t="s">
        <ns0:v>41</ns0:v>
      </ns0:c>
      <ns0:c r="R26" s="49" t="s">
        <ns0:v>218</ns0:v>
      </ns0:c>
      <ns0:c r="S26" s="49" t="s">
        <ns0:v>219</ns0:v>
      </ns0:c>
      <ns0:c r="T26" s="47" t="s">
        <ns0:v>44</ns0:v>
      </ns0:c>
      <ns0:c r="U26" s="50" t="str">
        <ns0:f t="shared" si="0"/>
        <ns0:v>正常</ns0:v>
      </ns0:c>
      <ns0:c r="V26" s="26"/>
      <ns0:c r="W26" s="26"/>
      <ns0:c r="X26" s="26"/>
    </ns0:row>
    <ns0:row r="27" spans="1:24" ht="28" customHeight="1">
      <ns0:c r="A27" s="46" t="s">
        <ns0:v>220</ns0:v>
      </ns0:c>
      <ns0:c r="B27" s="46" t="s">
        <ns0:v>221</ns0:v>
      </ns0:c>
      <ns0:c r="C27" s="46" t="s">
        <ns0:v>222</ns0:v>
      </ns0:c>
      <ns0:c r="D27" s="47" t="s">
        <ns0:v>77</ns0:v>
      </ns0:c>
      <ns0:c r="E27" s="47" t="s">
        <ns0:v>190</ns0:v>
      </ns0:c>
      <ns0:c r="F27" s="48">
        <ns0:v>0</ns0:v>
      </ns0:c>
      <ns0:c r="G27" s="48">
        <ns0:v>0</ns0:v>
      </ns0:c>
      <ns0:c r="H27" s="48">
        <ns0:v>3</ns0:v>
      </ns0:c>
      <ns0:c r="I27" s="47" t="s">
        <ns0:v>35</ns0:v>
      </ns0:c>
      <ns0:c r="J27" s="47" t="s">
        <ns0:v>50</ns0:v>
      </ns0:c>
      <ns0:c r="K27" s="47" t="s">
        <ns0:v>223</ns0:v>
      </ns0:c>
      <ns0:c r="L27" s="47">
        <ns0:v>30</ns0:v>
      </ns0:c>
      <ns0:c r="M27" s="47" t="s">
        <ns0:v>224</ns0:v>
      </ns0:c>
      <ns0:c r="N27" s="48">
        <ns0:v>0.8</ns0:v>
      </ns0:c>
      <ns0:c r="O27" s="47" t="s">
        <ns0:v>225</ns0:v>
      </ns0:c>
      <ns0:c r="P27" s="47" t="s">
        <ns0:v>226</ns0:v>
      </ns0:c>
      <ns0:c r="Q27" s="47" t="s">
        <ns0:v>41</ns0:v>
      </ns0:c>
      <ns0:c r="R27" s="49" t="s">
        <ns0:v>227</ns0:v>
      </ns0:c>
      <ns0:c r="S27" s="49" t="s">
        <ns0:v>228</ns0:v>
      </ns0:c>
      <ns0:c r="T27" s="47" t="s">
        <ns0:v>61</ns0:v>
      </ns0:c>
      <ns0:c r="U27" s="50" t="str">
        <ns0:f t="shared" si="0"/>
        <ns0:v>正常</ns0:v>
      </ns0:c>
      <ns0:c r="V27" s="26"/>
      <ns0:c r="W27" s="26"/>
      <ns0:c r="X27" s="26"/>
    </ns0:row>
    <ns0:row r="28" spans="1:24" ht="28" customHeight="1">
      <ns0:c r="A28" s="46" t="s">
        <ns0:v>229</ns0:v>
      </ns0:c>
      <ns0:c r="B28" s="46" t="s">
        <ns0:v>230</ns0:v>
      </ns0:c>
      <ns0:c r="C28" s="46" t="s">
        <ns0:v>231</ns0:v>
      </ns0:c>
      <ns0:c r="D28" s="47" t="s">
        <ns0:v>33</ns0:v>
      </ns0:c>
      <ns0:c r="E28" s="47" t="s">
        <ns0:v>49</ns0:v>
      </ns0:c>
      <ns0:c r="F28" s="48">
        <ns0:v>1</ns0:v>
      </ns0:c>
      <ns0:c r="G28" s="48">
        <ns0:v>0</ns0:v>
      </ns0:c>
      <ns0:c r="H28" s="48">
        <ns0:v>5</ns0:v>
      </ns0:c>
      <ns0:c r="I28" s="47" t="s">
        <ns0:v>35</ns0:v>
      </ns0:c>
      <ns0:c r="J28" s="47" t="s">
        <ns0:v>50</ns0:v>
      </ns0:c>
      <ns0:c r="K28" s="47" t="s">
        <ns0:v>51</ns0:v>
      </ns0:c>
      <ns0:c r="L28" s="47">
        <ns0:v>30</ns0:v>
      </ns0:c>
      <ns0:c r="M28" s="47" t="s">
        <ns0:v>63</ns0:v>
      </ns0:c>
      <ns0:c r="N28" s="48">
        <ns0:v>3</ns0:v>
      </ns0:c>
      <ns0:c r="O28" s="47" t="s">
        <ns0:v>232</ns0:v>
      </ns0:c>
      <ns0:c r="P28" s="47" t="s">
        <ns0:v>233</ns0:v>
      </ns0:c>
      <ns0:c r="Q28" s="47" t="s">
        <ns0:v>41</ns0:v>
      </ns0:c>
      <ns0:c r="R28" s="49" t="s">
        <ns0:v>234</ns0:v>
      </ns0:c>
      <ns0:c r="S28" s="49" t="s">
        <ns0:v>235</ns0:v>
      </ns0:c>
      <ns0:c r="T28" s="47" t="s">
        <ns0:v>57</ns0:v>
      </ns0:c>
      <ns0:c r="U28" s="50" t="str">
        <ns0:f t="shared" si="0"/>
        <ns0:v>正常</ns0:v>
      </ns0:c>
      <ns0:c r="V28" s="26"/>
      <ns0:c r="W28" s="26"/>
      <ns0:c r="X28" s="26"/>
    </ns0:row>
    <ns0:row r="29" spans="1:24" ht="28" customHeight="1">
      <ns0:c r="A29" s="46" t="s">
        <ns0:v>236</ns0:v>
      </ns0:c>
      <ns0:c r="B29" s="46" t="s">
        <ns0:v>237</ns0:v>
      </ns0:c>
      <ns0:c r="C29" s="46" t="s">
        <ns0:v>238</ns0:v>
      </ns0:c>
      <ns0:c r="D29" s="47" t="s">
        <ns0:v>96</ns0:v>
      </ns0:c>
      <ns0:c r="E29" s="47" t="s">
        <ns0:v>171</ns0:v>
      </ns0:c>
      <ns0:c r="F29" s="48">
        <ns0:v>10</ns0:v>
      </ns0:c>
      <ns0:c r="G29" s="48">
        <ns0:v>1</ns0:v>
      </ns0:c>
      <ns0:c r="H29" s="48">
        <ns0:v>120</ns0:v>
      </ns0:c>
      <ns0:c r="I29" s="47" t="s">
        <ns0:v>35</ns0:v>
      </ns0:c>
      <ns0:c r="J29" s="47" t="s">
        <ns0:v>50</ns0:v>
      </ns0:c>
      <ns0:c r="K29" s="47" t="s">
        <ns0:v>59</ns0:v>
      </ns0:c>
      <ns0:c r="L29" s="47">
        <ns0:v>30</ns0:v>
      </ns0:c>
      <ns0:c r="M29" s="47" t="s">
        <ns0:v>239</ns0:v>
      </ns0:c>
      <ns0:c r="N29" s="48">
        <ns0:v>50</ns0:v>
      </ns0:c>
      <ns0:c r="O29" s="47" t="s">
        <ns0:v>240</ns0:v>
      </ns0:c>
      <ns0:c r="P29" s="47" t="s">
        <ns0:v>241</ns0:v>
      </ns0:c>
      <ns0:c r="Q29" s="47" t="s">
        <ns0:v>41</ns0:v>
      </ns0:c>
      <ns0:c r="R29" s="49" t="s">
        <ns0:v>242</ns0:v>
      </ns0:c>
      <ns0:c r="S29" s="49" t="s">
        <ns0:v>243</ns0:v>
      </ns0:c>
      <ns0:c r="T29" s="47" t="s">
        <ns0:v>44</ns0:v>
      </ns0:c>
      <ns0:c r="U29" s="50" t="str">
        <ns0:f t="shared" si="0"/>
        <ns0:v>正常</ns0:v>
      </ns0:c>
      <ns0:c r="V29" s="26"/>
      <ns0:c r="W29" s="26"/>
      <ns0:c r="X29" s="26"/>
    </ns0:row>
    <ns0:row r="30" spans="1:24" ht="28" customHeight="1">
      <ns0:c r="A30" s="46" t="s">
        <ns0:v>244</ns0:v>
      </ns0:c>
      <ns0:c r="B30" s="46" t="s">
        <ns0:v>245</ns0:v>
      </ns0:c>
      <ns0:c r="C30" s="46" t="s">
        <ns0:v>246</ns0:v>
      </ns0:c>
      <ns0:c r="D30" s="47" t="s">
        <ns0:v>96</ns0:v>
      </ns0:c>
      <ns0:c r="E30" s="47" t="s">
        <ns0:v>87</ns0:v>
      </ns0:c>
      <ns0:c r="F30" s="48">
        <ns0:v>2</ns0:v>
      </ns0:c>
      <ns0:c r="G30" s="48">
        <ns0:v>1</ns0:v>
      </ns0:c>
      <ns0:c r="H30" s="48">
        <ns0:v>20</ns0:v>
      </ns0:c>
      <ns0:c r="I30" s="47" t="s">
        <ns0:v>35</ns0:v>
      </ns0:c>
      <ns0:c r="J30" s="47" t="s">
        <ns0:v>50</ns0:v>
      </ns0:c>
      <ns0:c r="K30" s="47" t="s">
        <ns0:v>59</ns0:v>
      </ns0:c>
      <ns0:c r="L30" s="47">
        <ns0:v>50</ns0:v>
      </ns0:c>
      <ns0:c r="M30" s="47" t="s">
        <ns0:v>247</ns0:v>
      </ns0:c>
      <ns0:c r="N30" s="48">
        <ns0:v>6</ns0:v>
      </ns0:c>
      <ns0:c r="O30" s="47" t="s">
        <ns0:v>248</ns0:v>
      </ns0:c>
      <ns0:c r="P30" s="47" t="s">
        <ns0:v>249</ns0:v>
      </ns0:c>
      <ns0:c r="Q30" s="47" t="s">
        <ns0:v>41</ns0:v>
      </ns0:c>
      <ns0:c r="R30" s="49" t="s">
        <ns0:v>250</ns0:v>
      </ns0:c>
      <ns0:c r="S30" s="49" t="s">
        <ns0:v>251</ns0:v>
      </ns0:c>
      <ns0:c r="T30" s="47" t="s">
        <ns0:v>44</ns0:v>
      </ns0:c>
      <ns0:c r="U30" s="50" t="str">
        <ns0:f t="shared" si="0"/>
        <ns0:v>正常</ns0:v>
      </ns0:c>
      <ns0:c r="V30" s="26"/>
      <ns0:c r="W30" s="26"/>
      <ns0:c r="X30" s="26"/>
    </ns0:row>
    <ns0:row r="31" spans="1:24" ht="28" customHeight="1">
      <ns0:c r="A31" s="46" t="s">
        <ns0:v>252</ns0:v>
      </ns0:c>
      <ns0:c r="B31" s="46" t="s">
        <ns0:v>253</ns0:v>
      </ns0:c>
      <ns0:c r="C31" s="46" t="s">
        <ns0:v>254</ns0:v>
      </ns0:c>
      <ns0:c r="D31" s="47" t="s">
        <ns0:v>96</ns0:v>
      </ns0:c>
      <ns0:c r="E31" s="47" t="s">
        <ns0:v>154</ns0:v>
      </ns0:c>
      <ns0:c r="F31" s="48">
        <ns0:v>1</ns0:v>
      </ns0:c>
      <ns0:c r="G31" s="48">
        <ns0:v>0</ns0:v>
      </ns0:c>
      <ns0:c r="H31" s="48">
        <ns0:v>10</ns0:v>
      </ns0:c>
      <ns0:c r="I31" s="47" t="s">
        <ns0:v>35</ns0:v>
      </ns0:c>
      <ns0:c r="J31" s="47" t="s">
        <ns0:v>50</ns0:v>
      </ns0:c>
      <ns0:c r="K31" s="47" t="s">
        <ns0:v>59</ns0:v>
      </ns0:c>
      <ns0:c r="L31" s="47">
        <ns0:v>20</ns0:v>
      </ns0:c>
      <ns0:c r="M31" s="47" t="s">
        <ns0:v>63</ns0:v>
      </ns0:c>
      <ns0:c r="N31" s="48">
        <ns0:v>3</ns0:v>
      </ns0:c>
      <ns0:c r="O31" s="47" t="s">
        <ns0:v>255</ns0:v>
      </ns0:c>
      <ns0:c r="P31" s="47" t="s">
        <ns0:v>256</ns0:v>
      </ns0:c>
      <ns0:c r="Q31" s="47" t="s">
        <ns0:v>41</ns0:v>
      </ns0:c>
      <ns0:c r="R31" s="49" t="s">
        <ns0:v>257</ns0:v>
      </ns0:c>
      <ns0:c r="S31" s="49" t="s">
        <ns0:v>258</ns0:v>
      </ns0:c>
      <ns0:c r="T31" s="47" t="s">
        <ns0:v>57</ns0:v>
      </ns0:c>
      <ns0:c r="U31" s="50" t="str">
        <ns0:f t="shared" si="0"/>
        <ns0:v>正常</ns0:v>
      </ns0:c>
      <ns0:c r="V31" s="26"/>
      <ns0:c r="W31" s="26"/>
      <ns0:c r="X31" s="26"/>
    </ns0:row>
    <ns0:row r="32" spans="1:24" ht="28" customHeight="1">
      <ns0:c r="A32" s="46" t="s">
        <ns0:v>260</ns0:v>
      </ns0:c>
      <ns0:c r="B32" s="46" t="s">
        <ns0:v>261</ns0:v>
      </ns0:c>
      <ns0:c r="C32" s="46" t="s">
        <ns0:v>262</ns0:v>
      </ns0:c>
      <ns0:c r="D32" s="47" t="s">
        <ns0:v>86</ns0:v>
      </ns0:c>
      <ns0:c r="E32" s="47" t="s">
        <ns0:v>190</ns0:v>
      </ns0:c>
      <ns0:c r="F32" s="48">
        <ns0:v>.25</ns0:v>
      </ns0:c>
      <ns0:c r="G32" s="48">
        <ns0:v>0</ns0:v>
      </ns0:c>
      <ns0:c r="H32" s="48">
        <ns0:v>1</ns0:v>
      </ns0:c>
      <ns0:c r="I32" s="47" t="s">
        <ns0:v>35</ns0:v>
      </ns0:c>
      <ns0:c r="J32" s="47" t="s">
        <ns0:v>50</ns0:v>
      </ns0:c>
      <ns0:c r="K32" s="47" t="s">
        <ns0:v>59</ns0:v>
      </ns0:c>
      <ns0:c r="L32" s="47">
        <ns0:v>20</ns0:v>
      </ns0:c>
      <ns0:c r="M32" s="47" t="s">
        <ns0:v>263</ns0:v>
      </ns0:c>
      <ns0:c r="N32" s="48">
        <ns0:v>0.7</ns0:v>
      </ns0:c>
      <ns0:c r="O32" s="47" t="s">
        <ns0:v>264</ns0:v>
      </ns0:c>
      <ns0:c r="P32" s="47" t="s">
        <ns0:v>265</ns0:v>
      </ns0:c>
      <ns0:c r="Q32" s="47" t="s">
        <ns0:v>41</ns0:v>
      </ns0:c>
      <ns0:c r="R32" s="49" t="s">
        <ns0:v>266</ns0:v>
      </ns0:c>
      <ns0:c r="S32" s="49" t="s">
        <ns0:v>267</ns0:v>
      </ns0:c>
      <ns0:c r="T32" s="47" t="s">
        <ns0:v>57</ns0:v>
      </ns0:c>
      <ns0:c r="U32" s="50" t="str">
        <ns0:f t="shared" si="0"/>
        <ns0:v>正常</ns0:v>
      </ns0:c>
      <ns0:c r="V32" s="26"/>
      <ns0:c r="W32" s="26"/>
      <ns0:c r="X32" s="26"/>
    </ns0:row>
    <ns0:row r="33" spans="1:24" ht="28" customHeight="1">
      <ns0:c r="A33" s="46" t="s">
        <ns0:v>268</ns0:v>
      </ns0:c>
      <ns0:c r="B33" s="46" t="s">
        <ns0:v>269</ns0:v>
      </ns0:c>
      <ns0:c r="C33" s="46" t="s">
        <ns0:v>270</ns0:v>
      </ns0:c>
      <ns0:c r="D33" s="47" t="s">
        <ns0:v>86</ns0:v>
      </ns0:c>
      <ns0:c r="E33" s="47" t="s">
        <ns0:v>190</ns0:v>
      </ns0:c>
      <ns0:c r="F33" s="48">
        <ns0:v>.25</ns0:v>
      </ns0:c>
      <ns0:c r="G33" s="48">
        <ns0:v>0</ns0:v>
      </ns0:c>
      <ns0:c r="H33" s="48">
        <ns0:v>1</ns0:v>
      </ns0:c>
      <ns0:c r="I33" s="47" t="s">
        <ns0:v>35</ns0:v>
      </ns0:c>
      <ns0:c r="J33" s="47" t="s">
        <ns0:v>50</ns0:v>
      </ns0:c>
      <ns0:c r="K33" s="47" t="s">
        <ns0:v>59</ns0:v>
      </ns0:c>
      <ns0:c r="L33" s="47">
        <ns0:v>20</ns0:v>
      </ns0:c>
      <ns0:c r="M33" s="47" t="s">
        <ns0:v>271</ns0:v>
      </ns0:c>
      <ns0:c r="N33" s="48">
        <ns0:v>0.7</ns0:v>
      </ns0:c>
      <ns0:c r="O33" s="47" t="s">
        <ns0:v>272</ns0:v>
      </ns0:c>
      <ns0:c r="P33" s="47" t="s">
        <ns0:v>273</ns0:v>
      </ns0:c>
      <ns0:c r="Q33" s="47" t="s">
        <ns0:v>41</ns0:v>
      </ns0:c>
      <ns0:c r="R33" s="49" t="s">
        <ns0:v>274</ns0:v>
      </ns0:c>
      <ns0:c r="S33" s="49" t="s">
        <ns0:v>275</ns0:v>
      </ns0:c>
      <ns0:c r="T33" s="47" t="s">
        <ns0:v>57</ns0:v>
      </ns0:c>
      <ns0:c r="U33" s="50" t="str">
        <ns0:f t="shared" si="0"/>
        <ns0:v>正常</ns0:v>
      </ns0:c>
      <ns0:c r="V33" s="26"/>
      <ns0:c r="W33" s="26"/>
      <ns0:c r="X33" s="26"/>
    </ns0:row>
    <ns0:row r="34" spans="1:24" ht="28" customHeight="1">
      <ns0:c r="A34" s="46" t="s">
        <ns0:v>276</ns0:v>
      </ns0:c>
      <ns0:c r="B34" s="46" t="s">
        <ns0:v>277</ns0:v>
      </ns0:c>
      <ns0:c r="C34" s="46" t="s">
        <ns0:v>278</ns0:v>
      </ns0:c>
      <ns0:c r="D34" s="47" t="s">
        <ns0:v>86</ns0:v>
      </ns0:c>
      <ns0:c r="E34" s="47" t="s">
        <ns0:v>190</ns0:v>
      </ns0:c>
      <ns0:c r="F34" s="48">
        <ns0:v>.25</ns0:v>
      </ns0:c>
      <ns0:c r="G34" s="48">
        <ns0:v>0</ns0:v>
      </ns0:c>
      <ns0:c r="H34" s="48">
        <ns0:v>1</ns0:v>
      </ns0:c>
      <ns0:c r="I34" s="47" t="s">
        <ns0:v>35</ns0:v>
      </ns0:c>
      <ns0:c r="J34" s="47" t="s">
        <ns0:v>50</ns0:v>
      </ns0:c>
      <ns0:c r="K34" s="47" t="s">
        <ns0:v>59</ns0:v>
      </ns0:c>
      <ns0:c r="L34" s="47">
        <ns0:v>20</ns0:v>
      </ns0:c>
      <ns0:c r="M34" s="47" t="s">
        <ns0:v>279</ns0:v>
      </ns0:c>
      <ns0:c r="N34" s="48">
        <ns0:v>0.65</ns0:v>
      </ns0:c>
      <ns0:c r="O34" s="47" t="s">
        <ns0:v>280</ns0:v>
      </ns0:c>
      <ns0:c r="P34" s="47" t="s">
        <ns0:v>281</ns0:v>
      </ns0:c>
      <ns0:c r="Q34" s="47" t="s">
        <ns0:v>41</ns0:v>
      </ns0:c>
      <ns0:c r="R34" s="49" t="s">
        <ns0:v>282</ns0:v>
      </ns0:c>
      <ns0:c r="S34" s="49" t="s">
        <ns0:v>283</ns0:v>
      </ns0:c>
      <ns0:c r="T34" s="47" t="s">
        <ns0:v>57</ns0:v>
      </ns0:c>
      <ns0:c r="U34" s="50" t="str">
        <ns0:f t="shared" si="0"/>
        <ns0:v>正常</ns0:v>
      </ns0:c>
      <ns0:c r="V34" s="26"/>
      <ns0:c r="W34" s="26"/>
      <ns0:c r="X34" s="26"/>
    </ns0:row>
    <ns0:row r="35" spans="1:24" ht="28" customHeight="1">
      <ns0:c r="A35" s="46" t="s">
        <ns0:v>284</ns0:v>
      </ns0:c>
      <ns0:c r="B35" s="46" t="s">
        <ns0:v>285</ns0:v>
      </ns0:c>
      <ns0:c r="C35" s="46" t="s">
        <ns0:v>286</ns0:v>
      </ns0:c>
      <ns0:c r="D35" s="47" t="s">
        <ns0:v>86</ns0:v>
      </ns0:c>
      <ns0:c r="E35" s="47" t="s">
        <ns0:v>87</ns0:v>
      </ns0:c>
      <ns0:c r="F35" s="48">
        <ns0:v>1</ns0:v>
      </ns0:c>
      <ns0:c r="G35" s="48">
        <ns0:v>0</ns0:v>
      </ns0:c>
      <ns0:c r="H35" s="48">
        <ns0:v>10</ns0:v>
      </ns0:c>
      <ns0:c r="I35" s="47" t="s">
        <ns0:v>35</ns0:v>
      </ns0:c>
      <ns0:c r="J35" s="47" t="s">
        <ns0:v>50</ns0:v>
      </ns0:c>
      <ns0:c r="K35" s="47" t="s">
        <ns0:v>37</ns0:v>
      </ns0:c>
      <ns0:c r="L35" s="47">
        <ns0:v>30</ns0:v>
      </ns0:c>
      <ns0:c r="M35" s="47" t="s">
        <ns0:v>63</ns0:v>
      </ns0:c>
      <ns0:c r="N35" s="48">
        <ns0:v>3</ns0:v>
      </ns0:c>
      <ns0:c r="O35" s="47" t="s">
        <ns0:v>287</ns0:v>
      </ns0:c>
      <ns0:c r="P35" s="47" t="s">
        <ns0:v>288</ns0:v>
      </ns0:c>
      <ns0:c r="Q35" s="47" t="s">
        <ns0:v>41</ns0:v>
      </ns0:c>
      <ns0:c r="R35" s="49" t="s">
        <ns0:v>289</ns0:v>
      </ns0:c>
      <ns0:c r="S35" s="49" t="s">
        <ns0:v>290</ns0:v>
      </ns0:c>
      <ns0:c r="T35" s="47" t="s">
        <ns0:v>57</ns0:v>
      </ns0:c>
      <ns0:c r="U35" s="50" t="str">
        <ns0:f t="shared" si="0"/>
        <ns0:v>正常</ns0:v>
      </ns0:c>
      <ns0:c r="V35" s="26"/>
      <ns0:c r="W35" s="26"/>
      <ns0:c r="X35" s="26"/>
    </ns0:row>
    <ns0:row r="36" spans="1:24" ht="28" customHeight="1">
      <ns0:c r="A36" s="46" t="s">
        <ns0:v>291</ns0:v>
      </ns0:c>
      <ns0:c r="B36" s="46" t="s">
        <ns0:v>292</ns0:v>
      </ns0:c>
      <ns0:c r="C36" s="46" t="s">
        <ns0:v>293</ns0:v>
      </ns0:c>
      <ns0:c r="D36" s="47" t="s">
        <ns0:v>294</ns0:v>
      </ns0:c>
      <ns0:c r="E36" s="47" t="s">
        <ns0:v>87</ns0:v>
      </ns0:c>
      <ns0:c r="F36" s="48">
        <ns0:v>1</ns0:v>
      </ns0:c>
      <ns0:c r="G36" s="48">
        <ns0:v>0</ns0:v>
      </ns0:c>
      <ns0:c r="H36" s="48">
        <ns0:v>10</ns0:v>
      </ns0:c>
      <ns0:c r="I36" s="47" t="s">
        <ns0:v>35</ns0:v>
      </ns0:c>
      <ns0:c r="J36" s="47" t="s">
        <ns0:v>50</ns0:v>
      </ns0:c>
      <ns0:c r="K36" s="47" t="s">
        <ns0:v>295</ns0:v>
      </ns0:c>
      <ns0:c r="L36" s="47">
        <ns0:v>20</ns0:v>
      </ns0:c>
      <ns0:c r="M36" s="47" t="s">
        <ns0:v>63</ns0:v>
      </ns0:c>
      <ns0:c r="N36" s="48">
        <ns0:v>3</ns0:v>
      </ns0:c>
      <ns0:c r="O36" s="47" t="s">
        <ns0:v>296</ns0:v>
      </ns0:c>
      <ns0:c r="P36" s="47" t="s">
        <ns0:v>297</ns0:v>
      </ns0:c>
      <ns0:c r="Q36" s="47" t="s">
        <ns0:v>41</ns0:v>
      </ns0:c>
      <ns0:c r="R36" s="49" t="s">
        <ns0:v>298</ns0:v>
      </ns0:c>
      <ns0:c r="S36" s="49" t="s">
        <ns0:v>299</ns0:v>
      </ns0:c>
      <ns0:c r="T36" s="47" t="s">
        <ns0:v>57</ns0:v>
      </ns0:c>
      <ns0:c r="U36" s="50" t="str">
        <ns0:f t="shared" si="0"/>
        <ns0:v>正常</ns0:v>
      </ns0:c>
      <ns0:c r="V36" s="26"/>
      <ns0:c r="W36" s="26"/>
      <ns0:c r="X36" s="26"/>
    </ns0:row>
    <ns0:row r="37" spans="1:24" ht="28" customHeight="1">
      <ns0:c r="A37" s="46" t="s">
        <ns0:v>300</ns0:v>
      </ns0:c>
      <ns0:c r="B37" s="46" t="s">
        <ns0:v>301</ns0:v>
      </ns0:c>
      <ns0:c r="C37" s="46" t="s">
        <ns0:v>302</ns0:v>
      </ns0:c>
      <ns0:c r="D37" s="47" t="s">
        <ns0:v>294</ns0:v>
      </ns0:c>
      <ns0:c r="E37" s="47" t="s">
        <ns0:v>171</ns0:v>
      </ns0:c>
      <ns0:c r="F37" s="48">
        <ns0:v>1</ns0:v>
      </ns0:c>
      <ns0:c r="G37" s="48">
        <ns0:v>0</ns0:v>
      </ns0:c>
      <ns0:c r="H37" s="48">
        <ns0:v>60</ns0:v>
      </ns0:c>
      <ns0:c r="I37" s="47" t="s">
        <ns0:v>35</ns0:v>
      </ns0:c>
      <ns0:c r="J37" s="47" t="s">
        <ns0:v>50</ns0:v>
      </ns0:c>
      <ns0:c r="K37" s="47" t="s">
        <ns0:v>303</ns0:v>
      </ns0:c>
      <ns0:c r="L37" s="47">
        <ns0:v>20</ns0:v>
      </ns0:c>
      <ns0:c r="M37" s="47" t="s">
        <ns0:v>304</ns0:v>
      </ns0:c>
      <ns0:c r="N37" s="48">
        <ns0:v>10</ns0:v>
      </ns0:c>
      <ns0:c r="O37" s="47" t="s">
        <ns0:v>305</ns0:v>
      </ns0:c>
      <ns0:c r="P37" s="47" t="s">
        <ns0:v>306</ns0:v>
      </ns0:c>
      <ns0:c r="Q37" s="47" t="s">
        <ns0:v>41</ns0:v>
      </ns0:c>
      <ns0:c r="R37" s="49" t="s">
        <ns0:v>307</ns0:v>
      </ns0:c>
      <ns0:c r="S37" s="49" t="s">
        <ns0:v>308</ns0:v>
      </ns0:c>
      <ns0:c r="T37" s="47" t="s">
        <ns0:v>57</ns0:v>
      </ns0:c>
      <ns0:c r="U37" s="50" t="str">
        <ns0:f t="shared" si="0"/>
        <ns0:v>正常</ns0:v>
      </ns0:c>
      <ns0:c r="V37" s="26"/>
      <ns0:c r="W37" s="26"/>
      <ns0:c r="X37" s="26"/>
    </ns0:row>
    <ns0:row r="38" spans="1:24" ht="28" customHeight="1">
      <ns0:c r="A38" s="46" t="s">
        <ns0:v>310</ns0:v>
      </ns0:c>
      <ns0:c r="B38" s="46" t="s">
        <ns0:v>311</ns0:v>
      </ns0:c>
      <ns0:c r="C38" s="46" t="s">
        <ns0:v>312</ns0:v>
      </ns0:c>
      <ns0:c r="D38" s="47" t="s">
        <ns0:v>33</ns0:v>
      </ns0:c>
      <ns0:c r="E38" s="47" t="s">
        <ns0:v>87</ns0:v>
      </ns0:c>
      <ns0:c r="F38" s="48">
        <ns0:v>1</ns0:v>
      </ns0:c>
      <ns0:c r="G38" s="48">
        <ns0:v>0.1</ns0:v>
      </ns0:c>
      <ns0:c r="H38" s="48">
        <ns0:v>5</ns0:v>
      </ns0:c>
      <ns0:c r="I38" s="47" t="s">
        <ns0:v>35</ns0:v>
      </ns0:c>
      <ns0:c r="J38" s="47" t="s">
        <ns0:v>50</ns0:v>
      </ns0:c>
      <ns0:c r="K38" s="47" t="s">
        <ns0:v>51</ns0:v>
      </ns0:c>
      <ns0:c r="L38" s="47">
        <ns0:v>20</ns0:v>
      </ns0:c>
      <ns0:c r="M38" s="47" t="s">
        <ns0:v>313</ns0:v>
      </ns0:c>
      <ns0:c r="N38" s="48">
        <ns0:v>1.8</ns0:v>
      </ns0:c>
      <ns0:c r="O38" s="47" t="s">
        <ns0:v>314</ns0:v>
      </ns0:c>
      <ns0:c r="P38" s="47" t="s">
        <ns0:v>315</ns0:v>
      </ns0:c>
      <ns0:c r="Q38" s="47" t="s">
        <ns0:v>41</ns0:v>
      </ns0:c>
      <ns0:c r="R38" s="49" t="s">
        <ns0:v>316</ns0:v>
      </ns0:c>
      <ns0:c r="S38" s="49" t="s">
        <ns0:v>317</ns0:v>
      </ns0:c>
      <ns0:c r="T38" s="47" t="s">
        <ns0:v>57</ns0:v>
      </ns0:c>
      <ns0:c r="U38" s="50" t="str">
        <ns0:f t="shared" si="0"/>
        <ns0:v>正常</ns0:v>
      </ns0:c>
      <ns0:c r="V38" s="26"/>
      <ns0:c r="W38" s="26"/>
      <ns0:c r="X38" s="26"/>
    </ns0:row>
    <ns0:row r="39" spans="1:24" ht="28" customHeight="1">
      <ns0:c r="A39" s="46" t="s">
        <ns0:v>318</ns0:v>
      </ns0:c>
      <ns0:c r="B39" s="46" t="s">
        <ns0:v>319</ns0:v>
      </ns0:c>
      <ns0:c r="C39" s="46" t="s">
        <ns0:v>320</ns0:v>
      </ns0:c>
      <ns0:c r="D39" s="47" t="s">
        <ns0:v>33</ns0:v>
      </ns0:c>
      <ns0:c r="E39" s="47" t="s">
        <ns0:v>87</ns0:v>
      </ns0:c>
      <ns0:c r="F39" s="48">
        <ns0:v>1</ns0:v>
      </ns0:c>
      <ns0:c r="G39" s="48">
        <ns0:v>0</ns0:v>
      </ns0:c>
      <ns0:c r="H39" s="48">
        <ns0:v>10</ns0:v>
      </ns0:c>
      <ns0:c r="I39" s="47" t="s">
        <ns0:v>35</ns0:v>
      </ns0:c>
      <ns0:c r="J39" s="47" t="s">
        <ns0:v>50</ns0:v>
      </ns0:c>
      <ns0:c r="K39" s="47" t="s">
        <ns0:v>51</ns0:v>
      </ns0:c>
      <ns0:c r="L39" s="47">
        <ns0:v>30</ns0:v>
      </ns0:c>
      <ns0:c r="M39" s="47" t="s">
        <ns0:v>321</ns0:v>
      </ns0:c>
      <ns0:c r="N39" s="48">
        <ns0:v>3</ns0:v>
      </ns0:c>
      <ns0:c r="O39" s="47" t="s">
        <ns0:v>322</ns0:v>
      </ns0:c>
      <ns0:c r="P39" s="47" t="s">
        <ns0:v>323</ns0:v>
      </ns0:c>
      <ns0:c r="Q39" s="47" t="s">
        <ns0:v>41</ns0:v>
      </ns0:c>
      <ns0:c r="R39" s="49" t="s">
        <ns0:v>324</ns0:v>
      </ns0:c>
      <ns0:c r="S39" s="49" t="s">
        <ns0:v>325</ns0:v>
      </ns0:c>
      <ns0:c r="T39" s="47" t="s">
        <ns0:v>57</ns0:v>
      </ns0:c>
      <ns0:c r="U39" s="50" t="str">
        <ns0:f t="shared" si="0"/>
        <ns0:v>正常</ns0:v>
      </ns0:c>
      <ns0:c r="V39" s="26"/>
      <ns0:c r="W39" s="26"/>
      <ns0:c r="X39" s="26"/>
    </ns0:row>
    <ns0:row r="40" spans="1:24" ht="28" customHeight="1">
      <ns0:c r="A40" s="46" t="inlineStr">
        <ns0:is>
          <ns0:t>GAMBLE_QUADRUPLE_CHANCE</ns0:t>
        </ns0:is>
      </ns0:c>
      <ns0:c r="B40" s="46" t="inlineStr">
        <ns0:is>
          <ns0:t>四倍概率</ns0:t>
        </ns0:is>
      </ns0:c>
      <ns0:c r="C40" s="46" t="inlineStr">
        <ns0:is>
          <ns0:t>Gamble Quadruple Chance</ns0:t>
        </ns0:is>
      </ns0:c>
      <ns0:c r="D40" s="47" t="s">
        <ns0:v>86</ns0:v>
      </ns0:c>
      <ns0:c r="E40" s="47" t="s">
        <ns0:v>190</ns0:v>
      </ns0:c>
      <ns0:c r="F40" s="48">
        <ns0:v>.25</ns0:v>
      </ns0:c>
      <ns0:c r="G40" s="48">
        <ns0:v>0</ns0:v>
      </ns0:c>
      <ns0:c r="H40" s="48">
        <ns0:v>1</ns0:v>
      </ns0:c>
      <ns0:c r="I40" s="47" t="s">
        <ns0:v>35</ns0:v>
      </ns0:c>
      <ns0:c r="J40" s="47" t="s">
        <ns0:v>50</ns0:v>
      </ns0:c>
      <ns0:c r="K40" s="47" t="s">
        <ns0:v>59</ns0:v>
      </ns0:c>
      <ns0:c r="L40" s="47">
        <ns0:v>20</ns0:v>
      </ns0:c>
      <ns0:c r="M40" s="47" t="s">
        <ns0:v>279</ns0:v>
      </ns0:c>
      <ns0:c r="N40" s="48">
        <ns0:v>0.65</ns0:v>
      </ns0:c>
      <ns0:c r="O40" s="47" t="inlineStr">
        <ns0:is>
          <ns0:t>Final gambling result multiplier x4</ns0:t>
        </ns0:is>
      </ns0:c>
      <ns0:c r="P40" s="47" t="inlineStr">
        <ns0:is>
          <ns0:t>gamble_quadruple_chance</ns0:t>
        </ns0:is>
      </ns0:c>
      <ns0:c r="Q40" s="47" t="s">
        <ns0:v>41</ns0:v>
      </ns0:c>
      <ns0:c r="R40" s="49" t="inlineStr">
        <ns0:is>
          <ns0:t>Fourth outcome; loss, return, x2 and x4 each start at 25%.</ns0:t>
        </ns0:is>
      </ns0:c>
      <ns0:c r="S40" s="49" t="inlineStr">
        <ns0:is>
          <ns0:t>User confirmed four equally probable outcomes.</ns0:t>
        </ns0:is>
      </ns0:c>
      <ns0:c r="T40" s="47" t="inlineStr">
        <ns0:is>
          <ns0:t>Approved</ns0:t>
        </ns0:is>
      </ns0:c>
      <ns0:c r="U40" s="50" t="str">
        <ns0:f>IF(A40="","",IF(OR(AND(G40&lt;&gt;"",F40&lt;G40),AND(H40&lt;&gt;"",F40&gt;H40)),"CHECK","OK"))</ns0:f>
        <ns0:v>OK</ns0:v>
      </ns0:c>
      <ns0:c r="V40" s="26"/>
      <ns0:c r="W40" s="26"/>
      <ns0:c r="X40" s="26"/>
    </ns0:row>
    <ns0:row r="41" spans="1:24" ht="28" customHeight="1">
      <ns0:c r="A41" s="46"/>
      <ns0:c r="B41" s="46"/>
      <ns0:c r="C41" s="46"/>
      <ns0:c r="D41" s="47"/>
      <ns0:c r="E41" s="47"/>
      <ns0:c r="F41" s="48"/>
      <ns0:c r="G41" s="48"/>
      <ns0:c r="H41" s="48"/>
      <ns0:c r="I41" s="47"/>
      <ns0:c r="J41" s="47"/>
      <ns0:c r="K41" s="47"/>
      <ns0:c r="L41" s="47"/>
      <ns0:c r="M41" s="47"/>
      <ns0:c r="N41" s="48"/>
      <ns0:c r="O41" s="47"/>
      <ns0:c r="P41" s="47"/>
      <ns0:c r="Q41" s="47"/>
      <ns0:c r="R41" s="49"/>
      <ns0:c r="S41" s="49"/>
      <ns0:c r="T41" s="47"/>
      <ns0:c r="U41" s="50" t="str">
        <ns0:f t="shared" si="0"/>
        <ns0:v/>
      </ns0:c>
      <ns0:c r="V41" s="26"/>
      <ns0:c r="W41" s="26"/>
      <ns0:c r="X41" s="26"/>
    </ns0:row>
    <ns0:row r="42" spans="1:24" ht="28" customHeight="1">
      <ns0:c r="A42" s="46"/>
      <ns0:c r="B42" s="46"/>
      <ns0:c r="C42" s="46"/>
      <ns0:c r="D42" s="47"/>
      <ns0:c r="E42" s="47"/>
      <ns0:c r="F42" s="48"/>
      <ns0:c r="G42" s="48"/>
      <ns0:c r="H42" s="48"/>
      <ns0:c r="I42" s="47"/>
      <ns0:c r="J42" s="47"/>
      <ns0:c r="K42" s="47"/>
      <ns0:c r="L42" s="47"/>
      <ns0:c r="M42" s="47"/>
      <ns0:c r="N42" s="48"/>
      <ns0:c r="O42" s="47"/>
      <ns0:c r="P42" s="47"/>
      <ns0:c r="Q42" s="47"/>
      <ns0:c r="R42" s="49"/>
      <ns0:c r="S42" s="49"/>
      <ns0:c r="T42" s="47"/>
      <ns0:c r="U42" s="50" t="str">
        <ns0:f t="shared" si="0"/>
        <ns0:v/>
      </ns0:c>
      <ns0:c r="V42" s="26"/>
      <ns0:c r="W42" s="26"/>
      <ns0:c r="X42" s="26"/>
    </ns0:row>
    <ns0:row r="43" spans="1:24" ht="28" customHeight="1">
      <ns0:c r="A43" s="46"/>
      <ns0:c r="B43" s="46"/>
      <ns0:c r="C43" s="46"/>
      <ns0:c r="D43" s="47"/>
      <ns0:c r="E43" s="47"/>
      <ns0:c r="F43" s="48"/>
      <ns0:c r="G43" s="48"/>
      <ns0:c r="H43" s="48"/>
      <ns0:c r="I43" s="47"/>
      <ns0:c r="J43" s="47"/>
      <ns0:c r="K43" s="47"/>
      <ns0:c r="L43" s="47"/>
      <ns0:c r="M43" s="47"/>
      <ns0:c r="N43" s="48"/>
      <ns0:c r="O43" s="47"/>
      <ns0:c r="P43" s="47"/>
      <ns0:c r="Q43" s="47"/>
      <ns0:c r="R43" s="49"/>
      <ns0:c r="S43" s="49"/>
      <ns0:c r="T43" s="47"/>
      <ns0:c r="U43" s="50" t="str">
        <ns0:f t="shared" si="0"/>
        <ns0:v/>
      </ns0:c>
      <ns0:c r="V43" s="26"/>
      <ns0:c r="W43" s="26"/>
      <ns0:c r="X43" s="26"/>
    </ns0:row>
    <ns0:row r="44" spans="1:24" ht="28" customHeight="1">
      <ns0:c r="A44" s="46"/>
      <ns0:c r="B44" s="46"/>
      <ns0:c r="C44" s="46"/>
      <ns0:c r="D44" s="47"/>
      <ns0:c r="E44" s="47"/>
      <ns0:c r="F44" s="48"/>
      <ns0:c r="G44" s="48"/>
      <ns0:c r="H44" s="48"/>
      <ns0:c r="I44" s="47"/>
      <ns0:c r="J44" s="47"/>
      <ns0:c r="K44" s="47"/>
      <ns0:c r="L44" s="47"/>
      <ns0:c r="M44" s="47"/>
      <ns0:c r="N44" s="48"/>
      <ns0:c r="O44" s="47"/>
      <ns0:c r="P44" s="47"/>
      <ns0:c r="Q44" s="47"/>
      <ns0:c r="R44" s="49"/>
      <ns0:c r="S44" s="49"/>
      <ns0:c r="T44" s="47"/>
      <ns0:c r="U44" s="50" t="str">
        <ns0:f t="shared" si="0"/>
        <ns0:v/>
      </ns0:c>
      <ns0:c r="V44" s="26"/>
      <ns0:c r="W44" s="26"/>
      <ns0:c r="X44" s="26"/>
    </ns0:row>
    <ns0:row r="45" spans="1:24" ht="28" customHeight="1">
      <ns0:c r="A45" s="46"/>
      <ns0:c r="B45" s="46"/>
      <ns0:c r="C45" s="46"/>
      <ns0:c r="D45" s="47"/>
      <ns0:c r="E45" s="47"/>
      <ns0:c r="F45" s="48"/>
      <ns0:c r="G45" s="48"/>
      <ns0:c r="H45" s="48"/>
      <ns0:c r="I45" s="47"/>
      <ns0:c r="J45" s="47"/>
      <ns0:c r="K45" s="47"/>
      <ns0:c r="L45" s="47"/>
      <ns0:c r="M45" s="47"/>
      <ns0:c r="N45" s="48"/>
      <ns0:c r="O45" s="47"/>
      <ns0:c r="P45" s="47"/>
      <ns0:c r="Q45" s="47"/>
      <ns0:c r="R45" s="49"/>
      <ns0:c r="S45" s="49"/>
      <ns0:c r="T45" s="47"/>
      <ns0:c r="U45" s="50" t="str">
        <ns0:f t="shared" si="0"/>
        <ns0:v/>
      </ns0:c>
      <ns0:c r="V45" s="26"/>
      <ns0:c r="W45" s="26"/>
      <ns0:c r="X45" s="26"/>
    </ns0:row>
    <ns0:row r="46" spans="1:24" ht="28" customHeight="1">
      <ns0:c r="A46" s="46"/>
      <ns0:c r="B46" s="46"/>
      <ns0:c r="C46" s="46"/>
      <ns0:c r="D46" s="47"/>
      <ns0:c r="E46" s="47"/>
      <ns0:c r="F46" s="48"/>
      <ns0:c r="G46" s="48"/>
      <ns0:c r="H46" s="48"/>
      <ns0:c r="I46" s="47"/>
      <ns0:c r="J46" s="47"/>
      <ns0:c r="K46" s="47"/>
      <ns0:c r="L46" s="47"/>
      <ns0:c r="M46" s="47"/>
      <ns0:c r="N46" s="48"/>
      <ns0:c r="O46" s="47"/>
      <ns0:c r="P46" s="47"/>
      <ns0:c r="Q46" s="47"/>
      <ns0:c r="R46" s="49"/>
      <ns0:c r="S46" s="49"/>
      <ns0:c r="T46" s="47"/>
      <ns0:c r="U46" s="50" t="str">
        <ns0:f t="shared" si="0"/>
        <ns0:v/>
      </ns0:c>
      <ns0:c r="V46" s="26"/>
      <ns0:c r="W46" s="26"/>
      <ns0:c r="X46" s="26"/>
    </ns0:row>
    <ns0:row r="47" spans="1:24" ht="28" customHeight="1">
      <ns0:c r="A47" s="46"/>
      <ns0:c r="B47" s="46"/>
      <ns0:c r="C47" s="46"/>
      <ns0:c r="D47" s="47"/>
      <ns0:c r="E47" s="47"/>
      <ns0:c r="F47" s="48"/>
      <ns0:c r="G47" s="48"/>
      <ns0:c r="H47" s="48"/>
      <ns0:c r="I47" s="47"/>
      <ns0:c r="J47" s="47"/>
      <ns0:c r="K47" s="47"/>
      <ns0:c r="L47" s="47"/>
      <ns0:c r="M47" s="47"/>
      <ns0:c r="N47" s="48"/>
      <ns0:c r="O47" s="47"/>
      <ns0:c r="P47" s="47"/>
      <ns0:c r="Q47" s="47"/>
      <ns0:c r="R47" s="49"/>
      <ns0:c r="S47" s="49"/>
      <ns0:c r="T47" s="47"/>
      <ns0:c r="U47" s="50" t="str">
        <ns0:f t="shared" si="0"/>
        <ns0:v/>
      </ns0:c>
      <ns0:c r="V47" s="26"/>
      <ns0:c r="W47" s="26"/>
      <ns0:c r="X47" s="26"/>
    </ns0:row>
    <ns0:row r="48" spans="1:24" ht="28" customHeight="1">
      <ns0:c r="A48" s="46"/>
      <ns0:c r="B48" s="46"/>
      <ns0:c r="C48" s="46"/>
      <ns0:c r="D48" s="47"/>
      <ns0:c r="E48" s="47"/>
      <ns0:c r="F48" s="48"/>
      <ns0:c r="G48" s="48"/>
      <ns0:c r="H48" s="48"/>
      <ns0:c r="I48" s="47"/>
      <ns0:c r="J48" s="47"/>
      <ns0:c r="K48" s="47"/>
      <ns0:c r="L48" s="47"/>
      <ns0:c r="M48" s="47"/>
      <ns0:c r="N48" s="48"/>
      <ns0:c r="O48" s="47"/>
      <ns0:c r="P48" s="47"/>
      <ns0:c r="Q48" s="47"/>
      <ns0:c r="R48" s="49"/>
      <ns0:c r="S48" s="49"/>
      <ns0:c r="T48" s="47"/>
      <ns0:c r="U48" s="50" t="str">
        <ns0:f t="shared" si="0"/>
        <ns0:v/>
      </ns0:c>
      <ns0:c r="V48" s="26"/>
      <ns0:c r="W48" s="26"/>
      <ns0:c r="X48" s="26"/>
    </ns0:row>
    <ns0:row r="49" spans="1:24" ht="28" customHeight="1">
      <ns0:c r="A49" s="46"/>
      <ns0:c r="B49" s="46"/>
      <ns0:c r="C49" s="46"/>
      <ns0:c r="D49" s="47"/>
      <ns0:c r="E49" s="47"/>
      <ns0:c r="F49" s="48"/>
      <ns0:c r="G49" s="48"/>
      <ns0:c r="H49" s="48"/>
      <ns0:c r="I49" s="47"/>
      <ns0:c r="J49" s="47"/>
      <ns0:c r="K49" s="47"/>
      <ns0:c r="L49" s="47"/>
      <ns0:c r="M49" s="47"/>
      <ns0:c r="N49" s="48"/>
      <ns0:c r="O49" s="47"/>
      <ns0:c r="P49" s="47"/>
      <ns0:c r="Q49" s="47"/>
      <ns0:c r="R49" s="49"/>
      <ns0:c r="S49" s="49"/>
      <ns0:c r="T49" s="47"/>
      <ns0:c r="U49" s="50" t="str">
        <ns0:f t="shared" si="0"/>
        <ns0:v/>
      </ns0:c>
      <ns0:c r="V49" s="26"/>
      <ns0:c r="W49" s="26"/>
      <ns0:c r="X49" s="26"/>
    </ns0:row>
    <ns0:row r="50" spans="1:24" ht="28" customHeight="1">
      <ns0:c r="A50" s="46"/>
      <ns0:c r="B50" s="46"/>
      <ns0:c r="C50" s="46"/>
      <ns0:c r="D50" s="47"/>
      <ns0:c r="E50" s="47"/>
      <ns0:c r="F50" s="48"/>
      <ns0:c r="G50" s="48"/>
      <ns0:c r="H50" s="48"/>
      <ns0:c r="I50" s="47"/>
      <ns0:c r="J50" s="47"/>
      <ns0:c r="K50" s="47"/>
      <ns0:c r="L50" s="47"/>
      <ns0:c r="M50" s="47"/>
      <ns0:c r="N50" s="48"/>
      <ns0:c r="O50" s="47"/>
      <ns0:c r="P50" s="47"/>
      <ns0:c r="Q50" s="47"/>
      <ns0:c r="R50" s="49"/>
      <ns0:c r="S50" s="49"/>
      <ns0:c r="T50" s="47"/>
      <ns0:c r="U50" s="50" t="str">
        <ns0:f t="shared" si="0"/>
        <ns0:v/>
      </ns0:c>
      <ns0:c r="V50" s="26"/>
      <ns0:c r="W50" s="26"/>
      <ns0:c r="X50" s="26"/>
    </ns0:row>
    <ns0:row r="51" spans="1:24" ht="28" customHeight="1">
      <ns0:c r="A51" s="46"/>
      <ns0:c r="B51" s="46"/>
      <ns0:c r="C51" s="46"/>
      <ns0:c r="D51" s="47"/>
      <ns0:c r="E51" s="47"/>
      <ns0:c r="F51" s="48"/>
      <ns0:c r="G51" s="48"/>
      <ns0:c r="H51" s="48"/>
      <ns0:c r="I51" s="47"/>
      <ns0:c r="J51" s="47"/>
      <ns0:c r="K51" s="47"/>
      <ns0:c r="L51" s="47"/>
      <ns0:c r="M51" s="47"/>
      <ns0:c r="N51" s="48"/>
      <ns0:c r="O51" s="47"/>
      <ns0:c r="P51" s="47"/>
      <ns0:c r="Q51" s="47"/>
      <ns0:c r="R51" s="49"/>
      <ns0:c r="S51" s="49"/>
      <ns0:c r="T51" s="47"/>
      <ns0:c r="U51" s="50" t="str">
        <ns0:f t="shared" si="0"/>
        <ns0:v/>
      </ns0:c>
      <ns0:c r="V51" s="26"/>
      <ns0:c r="W51" s="26"/>
      <ns0:c r="X51" s="26"/>
    </ns0:row>
    <ns0:row r="52" spans="1:24" ht="28" customHeight="1">
      <ns0:c r="A52" s="46"/>
      <ns0:c r="B52" s="46"/>
      <ns0:c r="C52" s="46"/>
      <ns0:c r="D52" s="47"/>
      <ns0:c r="E52" s="47"/>
      <ns0:c r="F52" s="48"/>
      <ns0:c r="G52" s="48"/>
      <ns0:c r="H52" s="48"/>
      <ns0:c r="I52" s="47"/>
      <ns0:c r="J52" s="47"/>
      <ns0:c r="K52" s="47"/>
      <ns0:c r="L52" s="47"/>
      <ns0:c r="M52" s="47"/>
      <ns0:c r="N52" s="48"/>
      <ns0:c r="O52" s="47"/>
      <ns0:c r="P52" s="47"/>
      <ns0:c r="Q52" s="47"/>
      <ns0:c r="R52" s="49"/>
      <ns0:c r="S52" s="49"/>
      <ns0:c r="T52" s="47"/>
      <ns0:c r="U52" s="50" t="str">
        <ns0:f t="shared" si="0"/>
        <ns0:v/>
      </ns0:c>
      <ns0:c r="V52" s="26"/>
      <ns0:c r="W52" s="26"/>
      <ns0:c r="X52" s="26"/>
    </ns0:row>
    <ns0:row r="53" spans="1:24" ht="28" customHeight="1">
      <ns0:c r="A53" s="46"/>
      <ns0:c r="B53" s="46"/>
      <ns0:c r="C53" s="46"/>
      <ns0:c r="D53" s="47"/>
      <ns0:c r="E53" s="47"/>
      <ns0:c r="F53" s="48"/>
      <ns0:c r="G53" s="48"/>
      <ns0:c r="H53" s="48"/>
      <ns0:c r="I53" s="47"/>
      <ns0:c r="J53" s="47"/>
      <ns0:c r="K53" s="47"/>
      <ns0:c r="L53" s="47"/>
      <ns0:c r="M53" s="47"/>
      <ns0:c r="N53" s="48"/>
      <ns0:c r="O53" s="47"/>
      <ns0:c r="P53" s="47"/>
      <ns0:c r="Q53" s="47"/>
      <ns0:c r="R53" s="49"/>
      <ns0:c r="S53" s="49"/>
      <ns0:c r="T53" s="47"/>
      <ns0:c r="U53" s="50" t="str">
        <ns0:f t="shared" si="0"/>
        <ns0:v/>
      </ns0:c>
      <ns0:c r="V53" s="26"/>
      <ns0:c r="W53" s="26"/>
      <ns0:c r="X53" s="26"/>
    </ns0:row>
    <ns0:row r="54" spans="1:24" ht="28" customHeight="1">
      <ns0:c r="A54" s="46"/>
      <ns0:c r="B54" s="46"/>
      <ns0:c r="C54" s="46"/>
      <ns0:c r="D54" s="47"/>
      <ns0:c r="E54" s="47"/>
      <ns0:c r="F54" s="48"/>
      <ns0:c r="G54" s="48"/>
      <ns0:c r="H54" s="48"/>
      <ns0:c r="I54" s="47"/>
      <ns0:c r="J54" s="47"/>
      <ns0:c r="K54" s="47"/>
      <ns0:c r="L54" s="47"/>
      <ns0:c r="M54" s="47"/>
      <ns0:c r="N54" s="48"/>
      <ns0:c r="O54" s="47"/>
      <ns0:c r="P54" s="47"/>
      <ns0:c r="Q54" s="47"/>
      <ns0:c r="R54" s="49"/>
      <ns0:c r="S54" s="49"/>
      <ns0:c r="T54" s="47"/>
      <ns0:c r="U54" s="50" t="str">
        <ns0:f t="shared" si="0"/>
        <ns0:v/>
      </ns0:c>
      <ns0:c r="V54" s="26"/>
      <ns0:c r="W54" s="26"/>
      <ns0:c r="X54" s="26"/>
    </ns0:row>
    <ns0:row r="55" spans="1:24" ht="28" customHeight="1">
      <ns0:c r="A55" s="46"/>
      <ns0:c r="B55" s="46"/>
      <ns0:c r="C55" s="46"/>
      <ns0:c r="D55" s="47"/>
      <ns0:c r="E55" s="47"/>
      <ns0:c r="F55" s="48"/>
      <ns0:c r="G55" s="48"/>
      <ns0:c r="H55" s="48"/>
      <ns0:c r="I55" s="47"/>
      <ns0:c r="J55" s="47"/>
      <ns0:c r="K55" s="47"/>
      <ns0:c r="L55" s="47"/>
      <ns0:c r="M55" s="47"/>
      <ns0:c r="N55" s="48"/>
      <ns0:c r="O55" s="47"/>
      <ns0:c r="P55" s="47"/>
      <ns0:c r="Q55" s="47"/>
      <ns0:c r="R55" s="49"/>
      <ns0:c r="S55" s="49"/>
      <ns0:c r="T55" s="47"/>
      <ns0:c r="U55" s="50" t="str">
        <ns0:f t="shared" si="0"/>
        <ns0:v/>
      </ns0:c>
      <ns0:c r="V55" s="26"/>
      <ns0:c r="W55" s="26"/>
      <ns0:c r="X55" s="26"/>
    </ns0:row>
    <ns0:row r="56" spans="1:24" ht="28" customHeight="1">
      <ns0:c r="A56" s="46"/>
      <ns0:c r="B56" s="46"/>
      <ns0:c r="C56" s="46"/>
      <ns0:c r="D56" s="47"/>
      <ns0:c r="E56" s="47"/>
      <ns0:c r="F56" s="48"/>
      <ns0:c r="G56" s="48"/>
      <ns0:c r="H56" s="48"/>
      <ns0:c r="I56" s="47"/>
      <ns0:c r="J56" s="47"/>
      <ns0:c r="K56" s="47"/>
      <ns0:c r="L56" s="47"/>
      <ns0:c r="M56" s="47"/>
      <ns0:c r="N56" s="48"/>
      <ns0:c r="O56" s="47"/>
      <ns0:c r="P56" s="47"/>
      <ns0:c r="Q56" s="47"/>
      <ns0:c r="R56" s="49"/>
      <ns0:c r="S56" s="49"/>
      <ns0:c r="T56" s="47"/>
      <ns0:c r="U56" s="50" t="str">
        <ns0:f t="shared" si="0"/>
        <ns0:v/>
      </ns0:c>
      <ns0:c r="V56" s="26"/>
      <ns0:c r="W56" s="26"/>
      <ns0:c r="X56" s="26"/>
    </ns0:row>
    <ns0:row r="57" spans="1:24" ht="28" customHeight="1">
      <ns0:c r="A57" s="46"/>
      <ns0:c r="B57" s="46"/>
      <ns0:c r="C57" s="46"/>
      <ns0:c r="D57" s="47"/>
      <ns0:c r="E57" s="47"/>
      <ns0:c r="F57" s="48"/>
      <ns0:c r="G57" s="48"/>
      <ns0:c r="H57" s="48"/>
      <ns0:c r="I57" s="47"/>
      <ns0:c r="J57" s="47"/>
      <ns0:c r="K57" s="47"/>
      <ns0:c r="L57" s="47"/>
      <ns0:c r="M57" s="47"/>
      <ns0:c r="N57" s="48"/>
      <ns0:c r="O57" s="47"/>
      <ns0:c r="P57" s="47"/>
      <ns0:c r="Q57" s="47"/>
      <ns0:c r="R57" s="49"/>
      <ns0:c r="S57" s="49"/>
      <ns0:c r="T57" s="47"/>
      <ns0:c r="U57" s="50" t="str">
        <ns0:f t="shared" si="0"/>
        <ns0:v/>
      </ns0:c>
      <ns0:c r="V57" s="26"/>
      <ns0:c r="W57" s="26"/>
      <ns0:c r="X57" s="26"/>
    </ns0:row>
    <ns0:row r="58" spans="1:24" ht="28" customHeight="1">
      <ns0:c r="A58" s="46"/>
      <ns0:c r="B58" s="46"/>
      <ns0:c r="C58" s="46"/>
      <ns0:c r="D58" s="47"/>
      <ns0:c r="E58" s="47"/>
      <ns0:c r="F58" s="48"/>
      <ns0:c r="G58" s="48"/>
      <ns0:c r="H58" s="48"/>
      <ns0:c r="I58" s="47"/>
      <ns0:c r="J58" s="47"/>
      <ns0:c r="K58" s="47"/>
      <ns0:c r="L58" s="47"/>
      <ns0:c r="M58" s="47"/>
      <ns0:c r="N58" s="48"/>
      <ns0:c r="O58" s="47"/>
      <ns0:c r="P58" s="47"/>
      <ns0:c r="Q58" s="47"/>
      <ns0:c r="R58" s="49"/>
      <ns0:c r="S58" s="49"/>
      <ns0:c r="T58" s="47"/>
      <ns0:c r="U58" s="50" t="str">
        <ns0:f t="shared" si="0"/>
        <ns0:v/>
      </ns0:c>
      <ns0:c r="V58" s="26"/>
      <ns0:c r="W58" s="26"/>
      <ns0:c r="X58" s="26"/>
    </ns0:row>
    <ns0:row r="59" spans="1:24" ht="28" customHeight="1">
      <ns0:c r="A59" s="46"/>
      <ns0:c r="B59" s="46"/>
      <ns0:c r="C59" s="46"/>
      <ns0:c r="D59" s="47"/>
      <ns0:c r="E59" s="47"/>
      <ns0:c r="F59" s="48"/>
      <ns0:c r="G59" s="48"/>
      <ns0:c r="H59" s="48"/>
      <ns0:c r="I59" s="47"/>
      <ns0:c r="J59" s="47"/>
      <ns0:c r="K59" s="47"/>
      <ns0:c r="L59" s="47"/>
      <ns0:c r="M59" s="47"/>
      <ns0:c r="N59" s="48"/>
      <ns0:c r="O59" s="47"/>
      <ns0:c r="P59" s="47"/>
      <ns0:c r="Q59" s="47"/>
      <ns0:c r="R59" s="49"/>
      <ns0:c r="S59" s="49"/>
      <ns0:c r="T59" s="47"/>
      <ns0:c r="U59" s="50" t="str">
        <ns0:f t="shared" si="0"/>
        <ns0:v/>
      </ns0:c>
      <ns0:c r="V59" s="26"/>
      <ns0:c r="W59" s="26"/>
      <ns0:c r="X59" s="26"/>
    </ns0:row>
    <ns0:row r="60" spans="1:24" ht="28" customHeight="1">
      <ns0:c r="A60" s="46"/>
      <ns0:c r="B60" s="46"/>
      <ns0:c r="C60" s="46"/>
      <ns0:c r="D60" s="47"/>
      <ns0:c r="E60" s="47"/>
      <ns0:c r="F60" s="48"/>
      <ns0:c r="G60" s="48"/>
      <ns0:c r="H60" s="48"/>
      <ns0:c r="I60" s="47"/>
      <ns0:c r="J60" s="47"/>
      <ns0:c r="K60" s="47"/>
      <ns0:c r="L60" s="47"/>
      <ns0:c r="M60" s="47"/>
      <ns0:c r="N60" s="48"/>
      <ns0:c r="O60" s="47"/>
      <ns0:c r="P60" s="47"/>
      <ns0:c r="Q60" s="47"/>
      <ns0:c r="R60" s="49"/>
      <ns0:c r="S60" s="49"/>
      <ns0:c r="T60" s="47"/>
      <ns0:c r="U60" s="50" t="str">
        <ns0:f t="shared" si="0"/>
        <ns0:v/>
      </ns0:c>
      <ns0:c r="V60" s="26"/>
      <ns0:c r="W60" s="26"/>
      <ns0:c r="X60" s="26"/>
    </ns0:row>
    <ns0:row r="61" spans="1:24" ht="28" customHeight="1">
      <ns0:c r="A61" s="46"/>
      <ns0:c r="B61" s="46"/>
      <ns0:c r="C61" s="46"/>
      <ns0:c r="D61" s="47"/>
      <ns0:c r="E61" s="47"/>
      <ns0:c r="F61" s="48"/>
      <ns0:c r="G61" s="48"/>
      <ns0:c r="H61" s="48"/>
      <ns0:c r="I61" s="47"/>
      <ns0:c r="J61" s="47"/>
      <ns0:c r="K61" s="47"/>
      <ns0:c r="L61" s="47"/>
      <ns0:c r="M61" s="47"/>
      <ns0:c r="N61" s="48"/>
      <ns0:c r="O61" s="47"/>
      <ns0:c r="P61" s="47"/>
      <ns0:c r="Q61" s="47"/>
      <ns0:c r="R61" s="49"/>
      <ns0:c r="S61" s="49"/>
      <ns0:c r="T61" s="47"/>
      <ns0:c r="U61" s="50" t="str">
        <ns0:f t="shared" si="0"/>
        <ns0:v/>
      </ns0:c>
      <ns0:c r="V61" s="26"/>
      <ns0:c r="W61" s="26"/>
      <ns0:c r="X61" s="26"/>
    </ns0:row>
    <ns0:row r="62" spans="1:24" ht="28" customHeight="1">
      <ns0:c r="A62" s="46"/>
      <ns0:c r="B62" s="46"/>
      <ns0:c r="C62" s="46"/>
      <ns0:c r="D62" s="47"/>
      <ns0:c r="E62" s="47"/>
      <ns0:c r="F62" s="48"/>
      <ns0:c r="G62" s="48"/>
      <ns0:c r="H62" s="48"/>
      <ns0:c r="I62" s="47"/>
      <ns0:c r="J62" s="47"/>
      <ns0:c r="K62" s="47"/>
      <ns0:c r="L62" s="47"/>
      <ns0:c r="M62" s="47"/>
      <ns0:c r="N62" s="48"/>
      <ns0:c r="O62" s="47"/>
      <ns0:c r="P62" s="47"/>
      <ns0:c r="Q62" s="47"/>
      <ns0:c r="R62" s="49"/>
      <ns0:c r="S62" s="49"/>
      <ns0:c r="T62" s="47"/>
      <ns0:c r="U62" s="50" t="str">
        <ns0:f t="shared" si="0"/>
        <ns0:v/>
      </ns0:c>
      <ns0:c r="V62" s="26"/>
      <ns0:c r="W62" s="26"/>
      <ns0:c r="X62" s="26"/>
    </ns0:row>
    <ns0:row r="63" spans="1:24" ht="28" customHeight="1">
      <ns0:c r="A63" s="46"/>
      <ns0:c r="B63" s="46"/>
      <ns0:c r="C63" s="46"/>
      <ns0:c r="D63" s="47"/>
      <ns0:c r="E63" s="47"/>
      <ns0:c r="F63" s="48"/>
      <ns0:c r="G63" s="48"/>
      <ns0:c r="H63" s="48"/>
      <ns0:c r="I63" s="47"/>
      <ns0:c r="J63" s="47"/>
      <ns0:c r="K63" s="47"/>
      <ns0:c r="L63" s="47"/>
      <ns0:c r="M63" s="47"/>
      <ns0:c r="N63" s="48"/>
      <ns0:c r="O63" s="47"/>
      <ns0:c r="P63" s="47"/>
      <ns0:c r="Q63" s="47"/>
      <ns0:c r="R63" s="49"/>
      <ns0:c r="S63" s="49"/>
      <ns0:c r="T63" s="47"/>
      <ns0:c r="U63" s="50" t="str">
        <ns0:f t="shared" ref="U63:U98" si="1">IF(A63="","",IF(OR(AND(G63&lt;&gt;"",F63&lt;G63),AND(H63&lt;&gt;"",F63&gt;H63)),"检查范围","正常"))</ns0:f>
        <ns0:v/>
      </ns0:c>
      <ns0:c r="V63" s="26"/>
      <ns0:c r="W63" s="26"/>
      <ns0:c r="X63" s="26"/>
    </ns0:row>
    <ns0:row r="64" spans="1:24" ht="28" customHeight="1">
      <ns0:c r="A64" s="46"/>
      <ns0:c r="B64" s="46"/>
      <ns0:c r="C64" s="46"/>
      <ns0:c r="D64" s="47"/>
      <ns0:c r="E64" s="47"/>
      <ns0:c r="F64" s="48"/>
      <ns0:c r="G64" s="48"/>
      <ns0:c r="H64" s="48"/>
      <ns0:c r="I64" s="47"/>
      <ns0:c r="J64" s="47"/>
      <ns0:c r="K64" s="47"/>
      <ns0:c r="L64" s="47"/>
      <ns0:c r="M64" s="47"/>
      <ns0:c r="N64" s="48"/>
      <ns0:c r="O64" s="47"/>
      <ns0:c r="P64" s="47"/>
      <ns0:c r="Q64" s="47"/>
      <ns0:c r="R64" s="49"/>
      <ns0:c r="S64" s="49"/>
      <ns0:c r="T64" s="47"/>
      <ns0:c r="U64" s="50" t="str">
        <ns0:f t="shared" si="1"/>
        <ns0:v/>
      </ns0:c>
      <ns0:c r="V64" s="26"/>
      <ns0:c r="W64" s="26"/>
      <ns0:c r="X64" s="26"/>
    </ns0:row>
    <ns0:row r="65" spans="1:24" ht="28" customHeight="1">
      <ns0:c r="A65" s="46"/>
      <ns0:c r="B65" s="46"/>
      <ns0:c r="C65" s="46"/>
      <ns0:c r="D65" s="47"/>
      <ns0:c r="E65" s="47"/>
      <ns0:c r="F65" s="48"/>
      <ns0:c r="G65" s="48"/>
      <ns0:c r="H65" s="48"/>
      <ns0:c r="I65" s="47"/>
      <ns0:c r="J65" s="47"/>
      <ns0:c r="K65" s="47"/>
      <ns0:c r="L65" s="47"/>
      <ns0:c r="M65" s="47"/>
      <ns0:c r="N65" s="48"/>
      <ns0:c r="O65" s="47"/>
      <ns0:c r="P65" s="47"/>
      <ns0:c r="Q65" s="47"/>
      <ns0:c r="R65" s="49"/>
      <ns0:c r="S65" s="49"/>
      <ns0:c r="T65" s="47"/>
      <ns0:c r="U65" s="50" t="str">
        <ns0:f t="shared" si="1"/>
        <ns0:v/>
      </ns0:c>
      <ns0:c r="V65" s="26"/>
      <ns0:c r="W65" s="26"/>
      <ns0:c r="X65" s="26"/>
    </ns0:row>
    <ns0:row r="66" spans="1:24" ht="28" customHeight="1">
      <ns0:c r="A66" s="46"/>
      <ns0:c r="B66" s="46"/>
      <ns0:c r="C66" s="46"/>
      <ns0:c r="D66" s="47"/>
      <ns0:c r="E66" s="47"/>
      <ns0:c r="F66" s="48"/>
      <ns0:c r="G66" s="48"/>
      <ns0:c r="H66" s="48"/>
      <ns0:c r="I66" s="47"/>
      <ns0:c r="J66" s="47"/>
      <ns0:c r="K66" s="47"/>
      <ns0:c r="L66" s="47"/>
      <ns0:c r="M66" s="47"/>
      <ns0:c r="N66" s="48"/>
      <ns0:c r="O66" s="47"/>
      <ns0:c r="P66" s="47"/>
      <ns0:c r="Q66" s="47"/>
      <ns0:c r="R66" s="49"/>
      <ns0:c r="S66" s="49"/>
      <ns0:c r="T66" s="47"/>
      <ns0:c r="U66" s="50" t="str">
        <ns0:f t="shared" si="1"/>
        <ns0:v/>
      </ns0:c>
      <ns0:c r="V66" s="26"/>
      <ns0:c r="W66" s="26"/>
      <ns0:c r="X66" s="26"/>
    </ns0:row>
    <ns0:row r="67" spans="1:24" ht="28" customHeight="1">
      <ns0:c r="A67" s="46"/>
      <ns0:c r="B67" s="46"/>
      <ns0:c r="C67" s="46"/>
      <ns0:c r="D67" s="47"/>
      <ns0:c r="E67" s="47"/>
      <ns0:c r="F67" s="48"/>
      <ns0:c r="G67" s="48"/>
      <ns0:c r="H67" s="48"/>
      <ns0:c r="I67" s="47"/>
      <ns0:c r="J67" s="47"/>
      <ns0:c r="K67" s="47"/>
      <ns0:c r="L67" s="47"/>
      <ns0:c r="M67" s="47"/>
      <ns0:c r="N67" s="48"/>
      <ns0:c r="O67" s="47"/>
      <ns0:c r="P67" s="47"/>
      <ns0:c r="Q67" s="47"/>
      <ns0:c r="R67" s="49"/>
      <ns0:c r="S67" s="49"/>
      <ns0:c r="T67" s="47"/>
      <ns0:c r="U67" s="50" t="str">
        <ns0:f t="shared" si="1"/>
        <ns0:v/>
      </ns0:c>
      <ns0:c r="V67" s="26"/>
      <ns0:c r="W67" s="26"/>
      <ns0:c r="X67" s="26"/>
    </ns0:row>
    <ns0:row r="68" spans="1:24" ht="28" customHeight="1">
      <ns0:c r="A68" s="46"/>
      <ns0:c r="B68" s="46"/>
      <ns0:c r="C68" s="46"/>
      <ns0:c r="D68" s="47"/>
      <ns0:c r="E68" s="47"/>
      <ns0:c r="F68" s="48"/>
      <ns0:c r="G68" s="48"/>
      <ns0:c r="H68" s="48"/>
      <ns0:c r="I68" s="47"/>
      <ns0:c r="J68" s="47"/>
      <ns0:c r="K68" s="47"/>
      <ns0:c r="L68" s="47"/>
      <ns0:c r="M68" s="47"/>
      <ns0:c r="N68" s="48"/>
      <ns0:c r="O68" s="47"/>
      <ns0:c r="P68" s="47"/>
      <ns0:c r="Q68" s="47"/>
      <ns0:c r="R68" s="49"/>
      <ns0:c r="S68" s="49"/>
      <ns0:c r="T68" s="47"/>
      <ns0:c r="U68" s="50" t="str">
        <ns0:f t="shared" si="1"/>
        <ns0:v/>
      </ns0:c>
      <ns0:c r="V68" s="26"/>
      <ns0:c r="W68" s="26"/>
      <ns0:c r="X68" s="26"/>
    </ns0:row>
    <ns0:row r="69" spans="1:24" ht="28" customHeight="1">
      <ns0:c r="A69" s="46"/>
      <ns0:c r="B69" s="46"/>
      <ns0:c r="C69" s="46"/>
      <ns0:c r="D69" s="47"/>
      <ns0:c r="E69" s="47"/>
      <ns0:c r="F69" s="48"/>
      <ns0:c r="G69" s="48"/>
      <ns0:c r="H69" s="48"/>
      <ns0:c r="I69" s="47"/>
      <ns0:c r="J69" s="47"/>
      <ns0:c r="K69" s="47"/>
      <ns0:c r="L69" s="47"/>
      <ns0:c r="M69" s="47"/>
      <ns0:c r="N69" s="48"/>
      <ns0:c r="O69" s="47"/>
      <ns0:c r="P69" s="47"/>
      <ns0:c r="Q69" s="47"/>
      <ns0:c r="R69" s="49"/>
      <ns0:c r="S69" s="49"/>
      <ns0:c r="T69" s="47"/>
      <ns0:c r="U69" s="50" t="str">
        <ns0:f t="shared" si="1"/>
        <ns0:v/>
      </ns0:c>
      <ns0:c r="V69" s="26"/>
      <ns0:c r="W69" s="26"/>
      <ns0:c r="X69" s="26"/>
    </ns0:row>
    <ns0:row r="70" spans="1:24" ht="28" customHeight="1">
      <ns0:c r="A70" s="46"/>
      <ns0:c r="B70" s="46"/>
      <ns0:c r="C70" s="46"/>
      <ns0:c r="D70" s="47"/>
      <ns0:c r="E70" s="47"/>
      <ns0:c r="F70" s="48"/>
      <ns0:c r="G70" s="48"/>
      <ns0:c r="H70" s="48"/>
      <ns0:c r="I70" s="47"/>
      <ns0:c r="J70" s="47"/>
      <ns0:c r="K70" s="47"/>
      <ns0:c r="L70" s="47"/>
      <ns0:c r="M70" s="47"/>
      <ns0:c r="N70" s="48"/>
      <ns0:c r="O70" s="47"/>
      <ns0:c r="P70" s="47"/>
      <ns0:c r="Q70" s="47"/>
      <ns0:c r="R70" s="49"/>
      <ns0:c r="S70" s="49"/>
      <ns0:c r="T70" s="47"/>
      <ns0:c r="U70" s="50" t="str">
        <ns0:f t="shared" si="1"/>
        <ns0:v/>
      </ns0:c>
      <ns0:c r="V70" s="26"/>
      <ns0:c r="W70" s="26"/>
      <ns0:c r="X70" s="26"/>
    </ns0:row>
    <ns0:row r="71" spans="1:24" ht="28" customHeight="1">
      <ns0:c r="A71" s="46"/>
      <ns0:c r="B71" s="46"/>
      <ns0:c r="C71" s="46"/>
      <ns0:c r="D71" s="47"/>
      <ns0:c r="E71" s="47"/>
      <ns0:c r="F71" s="48"/>
      <ns0:c r="G71" s="48"/>
      <ns0:c r="H71" s="48"/>
      <ns0:c r="I71" s="47"/>
      <ns0:c r="J71" s="47"/>
      <ns0:c r="K71" s="47"/>
      <ns0:c r="L71" s="47"/>
      <ns0:c r="M71" s="47"/>
      <ns0:c r="N71" s="48"/>
      <ns0:c r="O71" s="47"/>
      <ns0:c r="P71" s="47"/>
      <ns0:c r="Q71" s="47"/>
      <ns0:c r="R71" s="49"/>
      <ns0:c r="S71" s="49"/>
      <ns0:c r="T71" s="47"/>
      <ns0:c r="U71" s="50" t="str">
        <ns0:f t="shared" si="1"/>
        <ns0:v/>
      </ns0:c>
      <ns0:c r="V71" s="26"/>
      <ns0:c r="W71" s="26"/>
      <ns0:c r="X71" s="26"/>
    </ns0:row>
    <ns0:row r="72" spans="1:24" ht="28" customHeight="1">
      <ns0:c r="A72" s="46"/>
      <ns0:c r="B72" s="46"/>
      <ns0:c r="C72" s="46"/>
      <ns0:c r="D72" s="47"/>
      <ns0:c r="E72" s="47"/>
      <ns0:c r="F72" s="48"/>
      <ns0:c r="G72" s="48"/>
      <ns0:c r="H72" s="48"/>
      <ns0:c r="I72" s="47"/>
      <ns0:c r="J72" s="47"/>
      <ns0:c r="K72" s="47"/>
      <ns0:c r="L72" s="47"/>
      <ns0:c r="M72" s="47"/>
      <ns0:c r="N72" s="48"/>
      <ns0:c r="O72" s="47"/>
      <ns0:c r="P72" s="47"/>
      <ns0:c r="Q72" s="47"/>
      <ns0:c r="R72" s="49"/>
      <ns0:c r="S72" s="49"/>
      <ns0:c r="T72" s="47"/>
      <ns0:c r="U72" s="50" t="str">
        <ns0:f t="shared" si="1"/>
        <ns0:v/>
      </ns0:c>
      <ns0:c r="V72" s="26"/>
      <ns0:c r="W72" s="26"/>
      <ns0:c r="X72" s="26"/>
    </ns0:row>
    <ns0:row r="73" spans="1:24" ht="28" customHeight="1">
      <ns0:c r="A73" s="46"/>
      <ns0:c r="B73" s="46"/>
      <ns0:c r="C73" s="46"/>
      <ns0:c r="D73" s="47"/>
      <ns0:c r="E73" s="47"/>
      <ns0:c r="F73" s="48"/>
      <ns0:c r="G73" s="48"/>
      <ns0:c r="H73" s="48"/>
      <ns0:c r="I73" s="47"/>
      <ns0:c r="J73" s="47"/>
      <ns0:c r="K73" s="47"/>
      <ns0:c r="L73" s="47"/>
      <ns0:c r="M73" s="47"/>
      <ns0:c r="N73" s="48"/>
      <ns0:c r="O73" s="47"/>
      <ns0:c r="P73" s="47"/>
      <ns0:c r="Q73" s="47"/>
      <ns0:c r="R73" s="49"/>
      <ns0:c r="S73" s="49"/>
      <ns0:c r="T73" s="47"/>
      <ns0:c r="U73" s="50" t="str">
        <ns0:f t="shared" si="1"/>
        <ns0:v/>
      </ns0:c>
      <ns0:c r="V73" s="26"/>
      <ns0:c r="W73" s="26"/>
      <ns0:c r="X73" s="26"/>
    </ns0:row>
    <ns0:row r="74" spans="1:24" ht="28" customHeight="1">
      <ns0:c r="A74" s="46"/>
      <ns0:c r="B74" s="46"/>
      <ns0:c r="C74" s="46"/>
      <ns0:c r="D74" s="47"/>
      <ns0:c r="E74" s="47"/>
      <ns0:c r="F74" s="48"/>
      <ns0:c r="G74" s="48"/>
      <ns0:c r="H74" s="48"/>
      <ns0:c r="I74" s="47"/>
      <ns0:c r="J74" s="47"/>
      <ns0:c r="K74" s="47"/>
      <ns0:c r="L74" s="47"/>
      <ns0:c r="M74" s="47"/>
      <ns0:c r="N74" s="48"/>
      <ns0:c r="O74" s="47"/>
      <ns0:c r="P74" s="47"/>
      <ns0:c r="Q74" s="47"/>
      <ns0:c r="R74" s="49"/>
      <ns0:c r="S74" s="49"/>
      <ns0:c r="T74" s="47"/>
      <ns0:c r="U74" s="50" t="str">
        <ns0:f t="shared" si="1"/>
        <ns0:v/>
      </ns0:c>
      <ns0:c r="V74" s="26"/>
      <ns0:c r="W74" s="26"/>
      <ns0:c r="X74" s="26"/>
    </ns0:row>
    <ns0:row r="75" spans="1:24" ht="28" customHeight="1">
      <ns0:c r="A75" s="46"/>
      <ns0:c r="B75" s="46"/>
      <ns0:c r="C75" s="46"/>
      <ns0:c r="D75" s="47"/>
      <ns0:c r="E75" s="47"/>
      <ns0:c r="F75" s="48"/>
      <ns0:c r="G75" s="48"/>
      <ns0:c r="H75" s="48"/>
      <ns0:c r="I75" s="47"/>
      <ns0:c r="J75" s="47"/>
      <ns0:c r="K75" s="47"/>
      <ns0:c r="L75" s="47"/>
      <ns0:c r="M75" s="47"/>
      <ns0:c r="N75" s="48"/>
      <ns0:c r="O75" s="47"/>
      <ns0:c r="P75" s="47"/>
      <ns0:c r="Q75" s="47"/>
      <ns0:c r="R75" s="49"/>
      <ns0:c r="S75" s="49"/>
      <ns0:c r="T75" s="47"/>
      <ns0:c r="U75" s="50" t="str">
        <ns0:f t="shared" si="1"/>
        <ns0:v/>
      </ns0:c>
      <ns0:c r="V75" s="26"/>
      <ns0:c r="W75" s="26"/>
      <ns0:c r="X75" s="26"/>
    </ns0:row>
    <ns0:row r="76" spans="1:24" ht="28" customHeight="1">
      <ns0:c r="A76" s="46"/>
      <ns0:c r="B76" s="46"/>
      <ns0:c r="C76" s="46"/>
      <ns0:c r="D76" s="47"/>
      <ns0:c r="E76" s="47"/>
      <ns0:c r="F76" s="48"/>
      <ns0:c r="G76" s="48"/>
      <ns0:c r="H76" s="48"/>
      <ns0:c r="I76" s="47"/>
      <ns0:c r="J76" s="47"/>
      <ns0:c r="K76" s="47"/>
      <ns0:c r="L76" s="47"/>
      <ns0:c r="M76" s="47"/>
      <ns0:c r="N76" s="48"/>
      <ns0:c r="O76" s="47"/>
      <ns0:c r="P76" s="47"/>
      <ns0:c r="Q76" s="47"/>
      <ns0:c r="R76" s="49"/>
      <ns0:c r="S76" s="49"/>
      <ns0:c r="T76" s="47"/>
      <ns0:c r="U76" s="50" t="str">
        <ns0:f t="shared" si="1"/>
        <ns0:v/>
      </ns0:c>
      <ns0:c r="V76" s="26"/>
      <ns0:c r="W76" s="26"/>
      <ns0:c r="X76" s="26"/>
    </ns0:row>
    <ns0:row r="77" spans="1:24" ht="28" customHeight="1">
      <ns0:c r="A77" s="46"/>
      <ns0:c r="B77" s="46"/>
      <ns0:c r="C77" s="46"/>
      <ns0:c r="D77" s="47"/>
      <ns0:c r="E77" s="47"/>
      <ns0:c r="F77" s="48"/>
      <ns0:c r="G77" s="48"/>
      <ns0:c r="H77" s="48"/>
      <ns0:c r="I77" s="47"/>
      <ns0:c r="J77" s="47"/>
      <ns0:c r="K77" s="47"/>
      <ns0:c r="L77" s="47"/>
      <ns0:c r="M77" s="47"/>
      <ns0:c r="N77" s="48"/>
      <ns0:c r="O77" s="47"/>
      <ns0:c r="P77" s="47"/>
      <ns0:c r="Q77" s="47"/>
      <ns0:c r="R77" s="49"/>
      <ns0:c r="S77" s="49"/>
      <ns0:c r="T77" s="47"/>
      <ns0:c r="U77" s="50" t="str">
        <ns0:f t="shared" si="1"/>
        <ns0:v/>
      </ns0:c>
      <ns0:c r="V77" s="26"/>
      <ns0:c r="W77" s="26"/>
      <ns0:c r="X77" s="26"/>
    </ns0:row>
    <ns0:row r="78" spans="1:24" ht="28" customHeight="1">
      <ns0:c r="A78" s="46"/>
      <ns0:c r="B78" s="46"/>
      <ns0:c r="C78" s="46"/>
      <ns0:c r="D78" s="47"/>
      <ns0:c r="E78" s="47"/>
      <ns0:c r="F78" s="48"/>
      <ns0:c r="G78" s="48"/>
      <ns0:c r="H78" s="48"/>
      <ns0:c r="I78" s="47"/>
      <ns0:c r="J78" s="47"/>
      <ns0:c r="K78" s="47"/>
      <ns0:c r="L78" s="47"/>
      <ns0:c r="M78" s="47"/>
      <ns0:c r="N78" s="48"/>
      <ns0:c r="O78" s="47"/>
      <ns0:c r="P78" s="47"/>
      <ns0:c r="Q78" s="47"/>
      <ns0:c r="R78" s="49"/>
      <ns0:c r="S78" s="49"/>
      <ns0:c r="T78" s="47"/>
      <ns0:c r="U78" s="50" t="str">
        <ns0:f t="shared" si="1"/>
        <ns0:v/>
      </ns0:c>
      <ns0:c r="V78" s="26"/>
      <ns0:c r="W78" s="26"/>
      <ns0:c r="X78" s="26"/>
    </ns0:row>
    <ns0:row r="79" spans="1:24" ht="28" customHeight="1">
      <ns0:c r="A79" s="46"/>
      <ns0:c r="B79" s="46"/>
      <ns0:c r="C79" s="46"/>
      <ns0:c r="D79" s="47"/>
      <ns0:c r="E79" s="47"/>
      <ns0:c r="F79" s="48"/>
      <ns0:c r="G79" s="48"/>
      <ns0:c r="H79" s="48"/>
      <ns0:c r="I79" s="47"/>
      <ns0:c r="J79" s="47"/>
      <ns0:c r="K79" s="47"/>
      <ns0:c r="L79" s="47"/>
      <ns0:c r="M79" s="47"/>
      <ns0:c r="N79" s="48"/>
      <ns0:c r="O79" s="47"/>
      <ns0:c r="P79" s="47"/>
      <ns0:c r="Q79" s="47"/>
      <ns0:c r="R79" s="49"/>
      <ns0:c r="S79" s="49"/>
      <ns0:c r="T79" s="47"/>
      <ns0:c r="U79" s="50" t="str">
        <ns0:f t="shared" si="1"/>
        <ns0:v/>
      </ns0:c>
      <ns0:c r="V79" s="26"/>
      <ns0:c r="W79" s="26"/>
      <ns0:c r="X79" s="26"/>
    </ns0:row>
    <ns0:row r="80" spans="1:24" ht="28" customHeight="1">
      <ns0:c r="A80" s="46"/>
      <ns0:c r="B80" s="46"/>
      <ns0:c r="C80" s="46"/>
      <ns0:c r="D80" s="47"/>
      <ns0:c r="E80" s="47"/>
      <ns0:c r="F80" s="48"/>
      <ns0:c r="G80" s="48"/>
      <ns0:c r="H80" s="48"/>
      <ns0:c r="I80" s="47"/>
      <ns0:c r="J80" s="47"/>
      <ns0:c r="K80" s="47"/>
      <ns0:c r="L80" s="47"/>
      <ns0:c r="M80" s="47"/>
      <ns0:c r="N80" s="48"/>
      <ns0:c r="O80" s="47"/>
      <ns0:c r="P80" s="47"/>
      <ns0:c r="Q80" s="47"/>
      <ns0:c r="R80" s="49"/>
      <ns0:c r="S80" s="49"/>
      <ns0:c r="T80" s="47"/>
      <ns0:c r="U80" s="50" t="str">
        <ns0:f t="shared" si="1"/>
        <ns0:v/>
      </ns0:c>
      <ns0:c r="V80" s="26"/>
      <ns0:c r="W80" s="26"/>
      <ns0:c r="X80" s="26"/>
    </ns0:row>
    <ns0:row r="81" spans="1:24" ht="28" customHeight="1">
      <ns0:c r="A81" s="46"/>
      <ns0:c r="B81" s="46"/>
      <ns0:c r="C81" s="46"/>
      <ns0:c r="D81" s="47"/>
      <ns0:c r="E81" s="47"/>
      <ns0:c r="F81" s="48"/>
      <ns0:c r="G81" s="48"/>
      <ns0:c r="H81" s="48"/>
      <ns0:c r="I81" s="47"/>
      <ns0:c r="J81" s="47"/>
      <ns0:c r="K81" s="47"/>
      <ns0:c r="L81" s="47"/>
      <ns0:c r="M81" s="47"/>
      <ns0:c r="N81" s="48"/>
      <ns0:c r="O81" s="47"/>
      <ns0:c r="P81" s="47"/>
      <ns0:c r="Q81" s="47"/>
      <ns0:c r="R81" s="49"/>
      <ns0:c r="S81" s="49"/>
      <ns0:c r="T81" s="47"/>
      <ns0:c r="U81" s="50" t="str">
        <ns0:f t="shared" si="1"/>
        <ns0:v/>
      </ns0:c>
      <ns0:c r="V81" s="26"/>
      <ns0:c r="W81" s="26"/>
      <ns0:c r="X81" s="26"/>
    </ns0:row>
    <ns0:row r="82" spans="1:24" ht="28" customHeight="1">
      <ns0:c r="A82" s="46"/>
      <ns0:c r="B82" s="46"/>
      <ns0:c r="C82" s="46"/>
      <ns0:c r="D82" s="47"/>
      <ns0:c r="E82" s="47"/>
      <ns0:c r="F82" s="48"/>
      <ns0:c r="G82" s="48"/>
      <ns0:c r="H82" s="48"/>
      <ns0:c r="I82" s="47"/>
      <ns0:c r="J82" s="47"/>
      <ns0:c r="K82" s="47"/>
      <ns0:c r="L82" s="47"/>
      <ns0:c r="M82" s="47"/>
      <ns0:c r="N82" s="48"/>
      <ns0:c r="O82" s="47"/>
      <ns0:c r="P82" s="47"/>
      <ns0:c r="Q82" s="47"/>
      <ns0:c r="R82" s="49"/>
      <ns0:c r="S82" s="49"/>
      <ns0:c r="T82" s="47"/>
      <ns0:c r="U82" s="50" t="str">
        <ns0:f t="shared" si="1"/>
        <ns0:v/>
      </ns0:c>
      <ns0:c r="V82" s="26"/>
      <ns0:c r="W82" s="26"/>
      <ns0:c r="X82" s="26"/>
    </ns0:row>
    <ns0:row r="83" spans="1:24" ht="28" customHeight="1">
      <ns0:c r="A83" s="46"/>
      <ns0:c r="B83" s="46"/>
      <ns0:c r="C83" s="46"/>
      <ns0:c r="D83" s="47"/>
      <ns0:c r="E83" s="47"/>
      <ns0:c r="F83" s="48"/>
      <ns0:c r="G83" s="48"/>
      <ns0:c r="H83" s="48"/>
      <ns0:c r="I83" s="47"/>
      <ns0:c r="J83" s="47"/>
      <ns0:c r="K83" s="47"/>
      <ns0:c r="L83" s="47"/>
      <ns0:c r="M83" s="47"/>
      <ns0:c r="N83" s="48"/>
      <ns0:c r="O83" s="47"/>
      <ns0:c r="P83" s="47"/>
      <ns0:c r="Q83" s="47"/>
      <ns0:c r="R83" s="49"/>
      <ns0:c r="S83" s="49"/>
      <ns0:c r="T83" s="47"/>
      <ns0:c r="U83" s="50" t="str">
        <ns0:f t="shared" si="1"/>
        <ns0:v/>
      </ns0:c>
      <ns0:c r="V83" s="26"/>
      <ns0:c r="W83" s="26"/>
      <ns0:c r="X83" s="26"/>
    </ns0:row>
    <ns0:row r="84" spans="1:24" ht="28" customHeight="1">
      <ns0:c r="A84" s="46"/>
      <ns0:c r="B84" s="46"/>
      <ns0:c r="C84" s="46"/>
      <ns0:c r="D84" s="47"/>
      <ns0:c r="E84" s="47"/>
      <ns0:c r="F84" s="48"/>
      <ns0:c r="G84" s="48"/>
      <ns0:c r="H84" s="48"/>
      <ns0:c r="I84" s="47"/>
      <ns0:c r="J84" s="47"/>
      <ns0:c r="K84" s="47"/>
      <ns0:c r="L84" s="47"/>
      <ns0:c r="M84" s="47"/>
      <ns0:c r="N84" s="48"/>
      <ns0:c r="O84" s="47"/>
      <ns0:c r="P84" s="47"/>
      <ns0:c r="Q84" s="47"/>
      <ns0:c r="R84" s="49"/>
      <ns0:c r="S84" s="49"/>
      <ns0:c r="T84" s="47"/>
      <ns0:c r="U84" s="50" t="str">
        <ns0:f t="shared" si="1"/>
        <ns0:v/>
      </ns0:c>
      <ns0:c r="V84" s="26"/>
      <ns0:c r="W84" s="26"/>
      <ns0:c r="X84" s="26"/>
    </ns0:row>
    <ns0:row r="85" spans="1:24" ht="28" customHeight="1">
      <ns0:c r="A85" s="46"/>
      <ns0:c r="B85" s="46"/>
      <ns0:c r="C85" s="46"/>
      <ns0:c r="D85" s="47"/>
      <ns0:c r="E85" s="47"/>
      <ns0:c r="F85" s="48"/>
      <ns0:c r="G85" s="48"/>
      <ns0:c r="H85" s="48"/>
      <ns0:c r="I85" s="47"/>
      <ns0:c r="J85" s="47"/>
      <ns0:c r="K85" s="47"/>
      <ns0:c r="L85" s="47"/>
      <ns0:c r="M85" s="47"/>
      <ns0:c r="N85" s="48"/>
      <ns0:c r="O85" s="47"/>
      <ns0:c r="P85" s="47"/>
      <ns0:c r="Q85" s="47"/>
      <ns0:c r="R85" s="49"/>
      <ns0:c r="S85" s="49"/>
      <ns0:c r="T85" s="47"/>
      <ns0:c r="U85" s="50" t="str">
        <ns0:f t="shared" si="1"/>
        <ns0:v/>
      </ns0:c>
      <ns0:c r="V85" s="26"/>
      <ns0:c r="W85" s="26"/>
      <ns0:c r="X85" s="26"/>
    </ns0:row>
    <ns0:row r="86" spans="1:24" ht="28" customHeight="1">
      <ns0:c r="A86" s="46"/>
      <ns0:c r="B86" s="46"/>
      <ns0:c r="C86" s="46"/>
      <ns0:c r="D86" s="47"/>
      <ns0:c r="E86" s="47"/>
      <ns0:c r="F86" s="48"/>
      <ns0:c r="G86" s="48"/>
      <ns0:c r="H86" s="48"/>
      <ns0:c r="I86" s="47"/>
      <ns0:c r="J86" s="47"/>
      <ns0:c r="K86" s="47"/>
      <ns0:c r="L86" s="47"/>
      <ns0:c r="M86" s="47"/>
      <ns0:c r="N86" s="48"/>
      <ns0:c r="O86" s="47"/>
      <ns0:c r="P86" s="47"/>
      <ns0:c r="Q86" s="47"/>
      <ns0:c r="R86" s="49"/>
      <ns0:c r="S86" s="49"/>
      <ns0:c r="T86" s="47"/>
      <ns0:c r="U86" s="50" t="str">
        <ns0:f t="shared" si="1"/>
        <ns0:v/>
      </ns0:c>
      <ns0:c r="V86" s="26"/>
      <ns0:c r="W86" s="26"/>
      <ns0:c r="X86" s="26"/>
    </ns0:row>
    <ns0:row r="87" spans="1:24" ht="28" customHeight="1">
      <ns0:c r="A87" s="46"/>
      <ns0:c r="B87" s="46"/>
      <ns0:c r="C87" s="46"/>
      <ns0:c r="D87" s="47"/>
      <ns0:c r="E87" s="47"/>
      <ns0:c r="F87" s="48"/>
      <ns0:c r="G87" s="48"/>
      <ns0:c r="H87" s="48"/>
      <ns0:c r="I87" s="47"/>
      <ns0:c r="J87" s="47"/>
      <ns0:c r="K87" s="47"/>
      <ns0:c r="L87" s="47"/>
      <ns0:c r="M87" s="47"/>
      <ns0:c r="N87" s="48"/>
      <ns0:c r="O87" s="47"/>
      <ns0:c r="P87" s="47"/>
      <ns0:c r="Q87" s="47"/>
      <ns0:c r="R87" s="49"/>
      <ns0:c r="S87" s="49"/>
      <ns0:c r="T87" s="47"/>
      <ns0:c r="U87" s="50" t="str">
        <ns0:f t="shared" si="1"/>
        <ns0:v/>
      </ns0:c>
      <ns0:c r="V87" s="26"/>
      <ns0:c r="W87" s="26"/>
      <ns0:c r="X87" s="26"/>
    </ns0:row>
    <ns0:row r="88" spans="1:24" ht="28" customHeight="1">
      <ns0:c r="A88" s="46"/>
      <ns0:c r="B88" s="46"/>
      <ns0:c r="C88" s="46"/>
      <ns0:c r="D88" s="47"/>
      <ns0:c r="E88" s="47"/>
      <ns0:c r="F88" s="48"/>
      <ns0:c r="G88" s="48"/>
      <ns0:c r="H88" s="48"/>
      <ns0:c r="I88" s="47"/>
      <ns0:c r="J88" s="47"/>
      <ns0:c r="K88" s="47"/>
      <ns0:c r="L88" s="47"/>
      <ns0:c r="M88" s="47"/>
      <ns0:c r="N88" s="48"/>
      <ns0:c r="O88" s="47"/>
      <ns0:c r="P88" s="47"/>
      <ns0:c r="Q88" s="47"/>
      <ns0:c r="R88" s="49"/>
      <ns0:c r="S88" s="49"/>
      <ns0:c r="T88" s="47"/>
      <ns0:c r="U88" s="50" t="str">
        <ns0:f t="shared" si="1"/>
        <ns0:v/>
      </ns0:c>
      <ns0:c r="V88" s="26"/>
      <ns0:c r="W88" s="26"/>
      <ns0:c r="X88" s="26"/>
    </ns0:row>
    <ns0:row r="89" spans="1:24" ht="28" customHeight="1">
      <ns0:c r="A89" s="46"/>
      <ns0:c r="B89" s="46"/>
      <ns0:c r="C89" s="46"/>
      <ns0:c r="D89" s="47"/>
      <ns0:c r="E89" s="47"/>
      <ns0:c r="F89" s="48"/>
      <ns0:c r="G89" s="48"/>
      <ns0:c r="H89" s="48"/>
      <ns0:c r="I89" s="47"/>
      <ns0:c r="J89" s="47"/>
      <ns0:c r="K89" s="47"/>
      <ns0:c r="L89" s="47"/>
      <ns0:c r="M89" s="47"/>
      <ns0:c r="N89" s="48"/>
      <ns0:c r="O89" s="47"/>
      <ns0:c r="P89" s="47"/>
      <ns0:c r="Q89" s="47"/>
      <ns0:c r="R89" s="49"/>
      <ns0:c r="S89" s="49"/>
      <ns0:c r="T89" s="47"/>
      <ns0:c r="U89" s="50" t="str">
        <ns0:f t="shared" si="1"/>
        <ns0:v/>
      </ns0:c>
      <ns0:c r="V89" s="26"/>
      <ns0:c r="W89" s="26"/>
      <ns0:c r="X89" s="26"/>
    </ns0:row>
    <ns0:row r="90" spans="1:24" ht="28" customHeight="1">
      <ns0:c r="A90" s="46"/>
      <ns0:c r="B90" s="46"/>
      <ns0:c r="C90" s="46"/>
      <ns0:c r="D90" s="47"/>
      <ns0:c r="E90" s="47"/>
      <ns0:c r="F90" s="48"/>
      <ns0:c r="G90" s="48"/>
      <ns0:c r="H90" s="48"/>
      <ns0:c r="I90" s="47"/>
      <ns0:c r="J90" s="47"/>
      <ns0:c r="K90" s="47"/>
      <ns0:c r="L90" s="47"/>
      <ns0:c r="M90" s="47"/>
      <ns0:c r="N90" s="48"/>
      <ns0:c r="O90" s="47"/>
      <ns0:c r="P90" s="47"/>
      <ns0:c r="Q90" s="47"/>
      <ns0:c r="R90" s="49"/>
      <ns0:c r="S90" s="49"/>
      <ns0:c r="T90" s="47"/>
      <ns0:c r="U90" s="50" t="str">
        <ns0:f t="shared" si="1"/>
        <ns0:v/>
      </ns0:c>
      <ns0:c r="V90" s="26"/>
      <ns0:c r="W90" s="26"/>
      <ns0:c r="X90" s="26"/>
    </ns0:row>
    <ns0:row r="91" spans="1:24" ht="28" customHeight="1">
      <ns0:c r="A91" s="46"/>
      <ns0:c r="B91" s="46"/>
      <ns0:c r="C91" s="46"/>
      <ns0:c r="D91" s="47"/>
      <ns0:c r="E91" s="47"/>
      <ns0:c r="F91" s="48"/>
      <ns0:c r="G91" s="48"/>
      <ns0:c r="H91" s="48"/>
      <ns0:c r="I91" s="47"/>
      <ns0:c r="J91" s="47"/>
      <ns0:c r="K91" s="47"/>
      <ns0:c r="L91" s="47"/>
      <ns0:c r="M91" s="47"/>
      <ns0:c r="N91" s="48"/>
      <ns0:c r="O91" s="47"/>
      <ns0:c r="P91" s="47"/>
      <ns0:c r="Q91" s="47"/>
      <ns0:c r="R91" s="49"/>
      <ns0:c r="S91" s="49"/>
      <ns0:c r="T91" s="47"/>
      <ns0:c r="U91" s="50" t="str">
        <ns0:f t="shared" si="1"/>
        <ns0:v/>
      </ns0:c>
      <ns0:c r="V91" s="26"/>
      <ns0:c r="W91" s="26"/>
      <ns0:c r="X91" s="26"/>
    </ns0:row>
    <ns0:row r="92" spans="1:24" ht="28" customHeight="1">
      <ns0:c r="A92" s="46"/>
      <ns0:c r="B92" s="46"/>
      <ns0:c r="C92" s="46"/>
      <ns0:c r="D92" s="47"/>
      <ns0:c r="E92" s="47"/>
      <ns0:c r="F92" s="48"/>
      <ns0:c r="G92" s="48"/>
      <ns0:c r="H92" s="48"/>
      <ns0:c r="I92" s="47"/>
      <ns0:c r="J92" s="47"/>
      <ns0:c r="K92" s="47"/>
      <ns0:c r="L92" s="47"/>
      <ns0:c r="M92" s="47"/>
      <ns0:c r="N92" s="48"/>
      <ns0:c r="O92" s="47"/>
      <ns0:c r="P92" s="47"/>
      <ns0:c r="Q92" s="47"/>
      <ns0:c r="R92" s="49"/>
      <ns0:c r="S92" s="49"/>
      <ns0:c r="T92" s="47"/>
      <ns0:c r="U92" s="50" t="str">
        <ns0:f t="shared" si="1"/>
        <ns0:v/>
      </ns0:c>
      <ns0:c r="V92" s="26"/>
      <ns0:c r="W92" s="26"/>
      <ns0:c r="X92" s="26"/>
    </ns0:row>
    <ns0:row r="93" spans="1:24" ht="28" customHeight="1">
      <ns0:c r="A93" s="46"/>
      <ns0:c r="B93" s="46"/>
      <ns0:c r="C93" s="46"/>
      <ns0:c r="D93" s="47"/>
      <ns0:c r="E93" s="47"/>
      <ns0:c r="F93" s="48"/>
      <ns0:c r="G93" s="48"/>
      <ns0:c r="H93" s="48"/>
      <ns0:c r="I93" s="47"/>
      <ns0:c r="J93" s="47"/>
      <ns0:c r="K93" s="47"/>
      <ns0:c r="L93" s="47"/>
      <ns0:c r="M93" s="47"/>
      <ns0:c r="N93" s="48"/>
      <ns0:c r="O93" s="47"/>
      <ns0:c r="P93" s="47"/>
      <ns0:c r="Q93" s="47"/>
      <ns0:c r="R93" s="49"/>
      <ns0:c r="S93" s="49"/>
      <ns0:c r="T93" s="47"/>
      <ns0:c r="U93" s="50" t="str">
        <ns0:f t="shared" si="1"/>
        <ns0:v/>
      </ns0:c>
      <ns0:c r="V93" s="26"/>
      <ns0:c r="W93" s="26"/>
      <ns0:c r="X93" s="26"/>
    </ns0:row>
    <ns0:row r="94" spans="1:24" ht="28" customHeight="1">
      <ns0:c r="A94" s="46"/>
      <ns0:c r="B94" s="46"/>
      <ns0:c r="C94" s="46"/>
      <ns0:c r="D94" s="47"/>
      <ns0:c r="E94" s="47"/>
      <ns0:c r="F94" s="48"/>
      <ns0:c r="G94" s="48"/>
      <ns0:c r="H94" s="48"/>
      <ns0:c r="I94" s="47"/>
      <ns0:c r="J94" s="47"/>
      <ns0:c r="K94" s="47"/>
      <ns0:c r="L94" s="47"/>
      <ns0:c r="M94" s="47"/>
      <ns0:c r="N94" s="48"/>
      <ns0:c r="O94" s="47"/>
      <ns0:c r="P94" s="47"/>
      <ns0:c r="Q94" s="47"/>
      <ns0:c r="R94" s="49"/>
      <ns0:c r="S94" s="49"/>
      <ns0:c r="T94" s="47"/>
      <ns0:c r="U94" s="50" t="str">
        <ns0:f t="shared" si="1"/>
        <ns0:v/>
      </ns0:c>
      <ns0:c r="V94" s="26"/>
      <ns0:c r="W94" s="26"/>
      <ns0:c r="X94" s="26"/>
    </ns0:row>
    <ns0:row r="95" spans="1:24" ht="28" customHeight="1">
      <ns0:c r="A95" s="46"/>
      <ns0:c r="B95" s="46"/>
      <ns0:c r="C95" s="46"/>
      <ns0:c r="D95" s="47"/>
      <ns0:c r="E95" s="47"/>
      <ns0:c r="F95" s="48"/>
      <ns0:c r="G95" s="48"/>
      <ns0:c r="H95" s="48"/>
      <ns0:c r="I95" s="47"/>
      <ns0:c r="J95" s="47"/>
      <ns0:c r="K95" s="47"/>
      <ns0:c r="L95" s="47"/>
      <ns0:c r="M95" s="47"/>
      <ns0:c r="N95" s="48"/>
      <ns0:c r="O95" s="47"/>
      <ns0:c r="P95" s="47"/>
      <ns0:c r="Q95" s="47"/>
      <ns0:c r="R95" s="49"/>
      <ns0:c r="S95" s="49"/>
      <ns0:c r="T95" s="47"/>
      <ns0:c r="U95" s="50" t="str">
        <ns0:f t="shared" si="1"/>
        <ns0:v/>
      </ns0:c>
      <ns0:c r="V95" s="26"/>
      <ns0:c r="W95" s="26"/>
      <ns0:c r="X95" s="26"/>
    </ns0:row>
    <ns0:row r="96" spans="1:24" ht="28" customHeight="1">
      <ns0:c r="A96" s="46"/>
      <ns0:c r="B96" s="46"/>
      <ns0:c r="C96" s="46"/>
      <ns0:c r="D96" s="47"/>
      <ns0:c r="E96" s="47"/>
      <ns0:c r="F96" s="48"/>
      <ns0:c r="G96" s="48"/>
      <ns0:c r="H96" s="48"/>
      <ns0:c r="I96" s="47"/>
      <ns0:c r="J96" s="47"/>
      <ns0:c r="K96" s="47"/>
      <ns0:c r="L96" s="47"/>
      <ns0:c r="M96" s="47"/>
      <ns0:c r="N96" s="48"/>
      <ns0:c r="O96" s="47"/>
      <ns0:c r="P96" s="47"/>
      <ns0:c r="Q96" s="47"/>
      <ns0:c r="R96" s="49"/>
      <ns0:c r="S96" s="49"/>
      <ns0:c r="T96" s="47"/>
      <ns0:c r="U96" s="50" t="str">
        <ns0:f t="shared" si="1"/>
        <ns0:v/>
      </ns0:c>
      <ns0:c r="V96" s="26"/>
      <ns0:c r="W96" s="26"/>
      <ns0:c r="X96" s="26"/>
    </ns0:row>
    <ns0:row r="97" spans="1:24" ht="28" customHeight="1">
      <ns0:c r="A97" s="46"/>
      <ns0:c r="B97" s="46"/>
      <ns0:c r="C97" s="46"/>
      <ns0:c r="D97" s="47"/>
      <ns0:c r="E97" s="47"/>
      <ns0:c r="F97" s="48"/>
      <ns0:c r="G97" s="48"/>
      <ns0:c r="H97" s="48"/>
      <ns0:c r="I97" s="47"/>
      <ns0:c r="J97" s="47"/>
      <ns0:c r="K97" s="47"/>
      <ns0:c r="L97" s="47"/>
      <ns0:c r="M97" s="47"/>
      <ns0:c r="N97" s="48"/>
      <ns0:c r="O97" s="47"/>
      <ns0:c r="P97" s="47"/>
      <ns0:c r="Q97" s="47"/>
      <ns0:c r="R97" s="49"/>
      <ns0:c r="S97" s="49"/>
      <ns0:c r="T97" s="47"/>
      <ns0:c r="U97" s="50" t="str">
        <ns0:f t="shared" si="1"/>
        <ns0:v/>
      </ns0:c>
      <ns0:c r="V97" s="26"/>
      <ns0:c r="W97" s="26"/>
      <ns0:c r="X97" s="26"/>
    </ns0:row>
    <ns0:row r="98" spans="1:24" ht="28" customHeight="1">
      <ns0:c r="A98" s="53"/>
      <ns0:c r="B98" s="53"/>
      <ns0:c r="C98" s="53"/>
      <ns0:c r="D98" s="54"/>
      <ns0:c r="E98" s="54"/>
      <ns0:c r="F98" s="55"/>
      <ns0:c r="G98" s="55"/>
      <ns0:c r="H98" s="55"/>
      <ns0:c r="I98" s="54"/>
      <ns0:c r="J98" s="54"/>
      <ns0:c r="K98" s="54"/>
      <ns0:c r="L98" s="54"/>
      <ns0:c r="M98" s="54"/>
      <ns0:c r="N98" s="55"/>
      <ns0:c r="O98" s="54"/>
      <ns0:c r="P98" s="54"/>
      <ns0:c r="Q98" s="54"/>
      <ns0:c r="R98" s="56"/>
      <ns0:c r="S98" s="56"/>
      <ns0:c r="T98" s="54"/>
      <ns0:c r="U98" s="57" t="str">
        <ns0:f t="shared" si="1"/>
        <ns0:v/>
      </ns0:c>
      <ns0:c r="V98" s="26"/>
      <ns0:c r="W98" s="26"/>
      <ns0:c r="X98" s="26"/>
    </ns0:row>
  </ns0:sheetData>
  <ns0:phoneticPr fontId="12" type="noConversion"/>
  <ns0:conditionalFormatting sqref="Q7:Q98">
    <ns0:cfRule type="containsText" dxfId="4" priority="4" operator="containsText" text="Yes">
      <ns0:formula>NOT(ISERROR(SEARCH("Yes",Q7)))</ns0:formula>
    </ns0:cfRule>
  </ns0:conditionalFormatting>
  <ns0:conditionalFormatting sqref="U7:U98">
    <ns0:cfRule type="containsText" dxfId="3" priority="2" operator="containsText" text="检查范围">
      <ns0:formula>NOT(ISERROR(SEARCH("检查范围",U7)))</ns0:formula>
    </ns0:cfRule>
    <ns0:cfRule type="containsText" dxfId="2" priority="3" operator="containsText" text="正常">
      <ns0:formula>NOT(ISERROR(SEARCH("正常",U7)))</ns0:formula>
    </ns0:cfRule>
  </ns0:conditionalFormatting>
  <ns0:conditionalFormatting sqref="A7:A98">
    <ns0:cfRule type="duplicateValues" dxfId="0" priority="54"/>
  </ns0:conditionalFormatting>
  <ns0:dataValidations count="7">
    <ns0:dataValidation type="list" sqref="D7:D98" ns2:uid="{00000000-0002-0000-0000-000000000000}">
      <ns0:formula1>"Economy,Score,BallPhysics,RUSH,Gamble,Device,Blood"</ns0:formula1>
    </ns0:dataValidation>
    <ns0:dataValidation type="list" sqref="E7:E98" ns2:uid="{00000000-0002-0000-0000-000001000000}">
      <ns0:formula1>"Score,x,%,sec,Blood,count,ratio,px,kg,unit/s,unit"</ns0:formula1>
    </ns0:dataValidation>
    <ns0:dataValidation type="list" sqref="J7:J98" ns2:uid="{00000000-0002-0000-0000-000002000000}">
      <ns0:formula1>"ADD→MUL→CLAMP,MUL→ADD→CLAMP,SET→CLAMP,OVERRIDE,NonStack"</ns0:formula1>
    </ns0:dataValidation>
    <ns0:dataValidation type="list" sqref="K7:K98" ns2:uid="{00000000-0002-0000-0000-000003000000}">
      <ns0:formula1>"Ball,Drug,Item,Global,Device,Ball,Drug,Item,Drug,Item,Global,Ball,Drug,Item,Global"</ns0:formula1>
    </ns0:dataValidation>
    <ns0:dataValidation type="whole" sqref="L7:L98" ns2:uid="{00000000-0002-0000-0000-000004000000}">
      <ns0:formula1>1</ns0:formula1>
      <ns0:formula2>99</ns0:formula2>
    </ns0:dataValidation>
    <ns0:dataValidation type="list" sqref="Q7:Q98" ns2:uid="{00000000-0002-0000-0000-000005000000}">
      <ns0:formula1>"Yes,No"</ns0:formula1>
    </ns0:dataValidation>
    <ns0:dataValidation type="list" sqref="T7:T98" ns2:uid="{00000000-0002-0000-0000-000006000000}">
      <ns0:formula1>"Concept,Testing,Approved,Deprecated"</ns0:formula1>
    </ns0:dataValidation>
  </ns0:dataValidations>
  <ns0:pageMargins left="0.7" right="0.7" top="0.75" bottom="0.75" header="0.3" footer="0.3"/>
  <ns0:tableParts count="1">
    <ns0:tablePart ns3:id="rId1"/>
  </ns0:tableParts>
</ns0: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22D3C"/>
  </sheetPr>
  <dimension ref="A2:S37"/>
  <sheetViews>
    <sheetView showGridLines="0" workbookViewId="0">
      <pane xSplit="2" ySplit="4" topLeftCell="C15" activePane="bottomRight" state="frozen"/>
      <selection pane="topRight"/>
      <selection pane="bottomLeft"/>
      <selection pane="bottomRight" activeCell="K21" sqref="K21"/>
    </sheetView>
  </sheetViews>
  <sheetFormatPr defaultColWidth="9" defaultRowHeight="14"/>
  <cols>
    <col min="1" max="1" width="13" customWidth="1"/>
    <col min="2" max="2" width="23" customWidth="1"/>
    <col min="3" max="3" width="10" customWidth="1"/>
    <col min="4" max="4" width="17" customWidth="1"/>
    <col min="5" max="5" width="22" hidden="1" customWidth="1"/>
    <col min="6" max="6" width="21" hidden="1" customWidth="1"/>
    <col min="7" max="7" width="48" hidden="1" customWidth="1"/>
    <col min="8" max="8" width="60" customWidth="1"/>
    <col min="9" max="9" width="32" customWidth="1"/>
    <col min="10" max="10" width="23" customWidth="1"/>
    <col min="11" max="11" width="27" customWidth="1"/>
    <col min="12" max="12" width="34" customWidth="1"/>
    <col min="13" max="13" width="37" customWidth="1"/>
    <col min="14" max="14" width="18" customWidth="1"/>
    <col min="15" max="15" width="39" customWidth="1"/>
    <col min="16" max="16" width="55" customWidth="1"/>
    <col min="17" max="17" width="58" customWidth="1"/>
    <col min="18" max="19" width="14" hidden="1" customWidth="1"/>
  </cols>
  <sheetData>
    <row r="2" spans="1:19" ht="51" customHeight="1">
      <c r="A2" s="1" t="s">
        <v>335</v>
      </c>
    </row>
    <row r="3" spans="1:19" ht="78" hidden="1" customHeight="1"/>
    <row r="4" spans="1:19" ht="34" customHeight="1">
      <c r="A4" s="2" t="s">
        <v>336</v>
      </c>
      <c r="B4" s="2" t="s">
        <v>337</v>
      </c>
      <c r="C4" s="2" t="s">
        <v>338</v>
      </c>
      <c r="D4" s="2" t="s">
        <v>339</v>
      </c>
      <c r="E4" s="2" t="s">
        <v>340</v>
      </c>
      <c r="F4" s="2" t="s">
        <v>341</v>
      </c>
      <c r="G4" s="2" t="s">
        <v>342</v>
      </c>
      <c r="H4" s="2" t="s">
        <v>343</v>
      </c>
      <c r="I4" s="2" t="s">
        <v>344</v>
      </c>
      <c r="J4" s="2" t="s">
        <v>345</v>
      </c>
      <c r="K4" s="2" t="s">
        <v>346</v>
      </c>
      <c r="L4" s="2" t="s">
        <v>347</v>
      </c>
      <c r="M4" s="2" t="s">
        <v>348</v>
      </c>
      <c r="N4" s="2" t="s">
        <v>349</v>
      </c>
      <c r="O4" s="2" t="s">
        <v>350</v>
      </c>
      <c r="P4" s="2" t="s">
        <v>351</v>
      </c>
      <c r="Q4" s="2" t="s">
        <v>352</v>
      </c>
      <c r="R4" s="2" t="s">
        <v>353</v>
      </c>
      <c r="S4" s="2" t="s">
        <v>354</v>
      </c>
    </row>
    <row r="5" spans="1:19" ht="78" customHeight="1">
      <c r="A5" s="3" t="s">
        <v>355</v>
      </c>
      <c r="B5" s="3" t="s">
        <v>329</v>
      </c>
      <c r="C5" s="3" t="s">
        <v>328</v>
      </c>
      <c r="D5" s="3" t="s">
        <v>356</v>
      </c>
      <c r="E5" s="3" t="s">
        <v>357</v>
      </c>
      <c r="F5" s="3" t="s">
        <v>358</v>
      </c>
      <c r="G5" s="3" t="s">
        <v>359</v>
      </c>
      <c r="H5" s="3" t="s">
        <v>360</v>
      </c>
      <c r="I5" s="3" t="s">
        <v>361</v>
      </c>
      <c r="J5" s="3" t="s">
        <v>362</v>
      </c>
      <c r="K5" s="3" t="s">
        <v>363</v>
      </c>
      <c r="L5" s="3" t="s">
        <v>364</v>
      </c>
      <c r="M5" s="3" t="s">
        <v>365</v>
      </c>
      <c r="N5" s="3" t="s">
        <v>62</v>
      </c>
      <c r="O5" s="3" t="s">
        <v>366</v>
      </c>
      <c r="P5" s="3" t="s">
        <v>367</v>
      </c>
      <c r="Q5" s="3" t="s">
        <v>368</v>
      </c>
      <c r="R5" s="3" t="s">
        <v>369</v>
      </c>
      <c r="S5" s="3" t="s">
        <v>370</v>
      </c>
    </row>
    <row r="6" spans="1:19" s="14" customFormat="1" ht="78" customHeight="1">
      <c r="A6" s="19" t="s">
        <v>371</v>
      </c>
      <c r="B6" s="19" t="s">
        <v>330</v>
      </c>
      <c r="C6" s="19" t="s">
        <v>328</v>
      </c>
      <c r="D6" s="19" t="s">
        <v>372</v>
      </c>
      <c r="E6" s="19" t="s">
        <v>357</v>
      </c>
      <c r="F6" s="19" t="s">
        <v>373</v>
      </c>
      <c r="G6" s="19" t="s">
        <v>374</v>
      </c>
      <c r="H6" s="19" t="s">
        <v>375</v>
      </c>
      <c r="I6" s="19" t="s">
        <v>376</v>
      </c>
      <c r="J6" s="19" t="s">
        <v>362</v>
      </c>
      <c r="K6" s="19" t="s">
        <v>377</v>
      </c>
      <c r="L6" s="19" t="s">
        <v>378</v>
      </c>
      <c r="M6" s="19" t="s">
        <v>379</v>
      </c>
      <c r="N6" s="19" t="s">
        <v>58</v>
      </c>
      <c r="O6" s="19" t="s">
        <v>380</v>
      </c>
      <c r="P6" s="19" t="s">
        <v>381</v>
      </c>
      <c r="Q6" s="19" t="s">
        <v>382</v>
      </c>
      <c r="R6" s="19" t="s">
        <v>369</v>
      </c>
      <c r="S6" s="19" t="s">
        <v>370</v>
      </c>
    </row>
    <row r="7" spans="1:19" ht="78" customHeight="1">
      <c r="A7" s="3" t="s">
        <v>383</v>
      </c>
      <c r="B7" s="3" t="s">
        <v>331</v>
      </c>
      <c r="C7" s="3" t="s">
        <v>328</v>
      </c>
      <c r="D7" s="3" t="s">
        <v>384</v>
      </c>
      <c r="E7" s="3" t="s">
        <v>357</v>
      </c>
      <c r="F7" s="3" t="s">
        <v>385</v>
      </c>
      <c r="G7" s="3" t="s">
        <v>386</v>
      </c>
      <c r="H7" s="3" t="s">
        <v>387</v>
      </c>
      <c r="I7" s="3" t="s">
        <v>388</v>
      </c>
      <c r="J7" s="3" t="s">
        <v>362</v>
      </c>
      <c r="K7" s="3" t="s">
        <v>363</v>
      </c>
      <c r="L7" s="3" t="s">
        <v>389</v>
      </c>
      <c r="M7" s="3" t="s">
        <v>390</v>
      </c>
      <c r="N7" s="3" t="s">
        <v>45</v>
      </c>
      <c r="O7" s="3" t="s">
        <v>391</v>
      </c>
      <c r="P7" s="3" t="s">
        <v>392</v>
      </c>
      <c r="Q7" s="3" t="s">
        <v>393</v>
      </c>
      <c r="R7" s="3" t="s">
        <v>369</v>
      </c>
      <c r="S7" s="3" t="s">
        <v>370</v>
      </c>
    </row>
    <row r="8" spans="1:19" s="14" customFormat="1" ht="78" customHeight="1">
      <c r="A8" s="19" t="s">
        <v>394</v>
      </c>
      <c r="B8" s="19" t="s">
        <v>332</v>
      </c>
      <c r="C8" s="19" t="s">
        <v>328</v>
      </c>
      <c r="D8" s="19" t="s">
        <v>395</v>
      </c>
      <c r="E8" s="19" t="s">
        <v>357</v>
      </c>
      <c r="F8" s="19" t="s">
        <v>396</v>
      </c>
      <c r="G8" s="19" t="s">
        <v>397</v>
      </c>
      <c r="H8" s="19" t="s">
        <v>398</v>
      </c>
      <c r="I8" s="19" t="s">
        <v>399</v>
      </c>
      <c r="J8" s="19" t="s">
        <v>362</v>
      </c>
      <c r="K8" s="19" t="s">
        <v>363</v>
      </c>
      <c r="L8" s="19" t="s">
        <v>400</v>
      </c>
      <c r="M8" s="19" t="s">
        <v>401</v>
      </c>
      <c r="N8" s="19" t="s">
        <v>58</v>
      </c>
      <c r="O8" s="19" t="s">
        <v>402</v>
      </c>
      <c r="P8" s="19" t="s">
        <v>403</v>
      </c>
      <c r="Q8" s="19" t="s">
        <v>404</v>
      </c>
      <c r="R8" s="19" t="s">
        <v>369</v>
      </c>
      <c r="S8" s="19" t="s">
        <v>370</v>
      </c>
    </row>
    <row r="9" spans="1:19" ht="78" customHeight="1">
      <c r="A9" s="3" t="s">
        <v>405</v>
      </c>
      <c r="B9" s="3" t="s">
        <v>333</v>
      </c>
      <c r="C9" s="3" t="s">
        <v>328</v>
      </c>
      <c r="D9" s="3" t="s">
        <v>406</v>
      </c>
      <c r="E9" s="3" t="s">
        <v>357</v>
      </c>
      <c r="F9" s="3" t="s">
        <v>407</v>
      </c>
      <c r="G9" s="3" t="s">
        <v>408</v>
      </c>
      <c r="H9" s="3" t="s">
        <v>409</v>
      </c>
      <c r="I9" s="3" t="s">
        <v>410</v>
      </c>
      <c r="J9" s="3" t="s">
        <v>362</v>
      </c>
      <c r="K9" s="3" t="s">
        <v>411</v>
      </c>
      <c r="L9" s="3" t="s">
        <v>412</v>
      </c>
      <c r="M9" s="3" t="s">
        <v>413</v>
      </c>
      <c r="N9" s="3" t="s">
        <v>62</v>
      </c>
      <c r="O9" s="3" t="s">
        <v>414</v>
      </c>
      <c r="P9" s="3" t="s">
        <v>415</v>
      </c>
      <c r="Q9" s="3" t="s">
        <v>416</v>
      </c>
      <c r="R9" s="3" t="s">
        <v>417</v>
      </c>
      <c r="S9" s="3" t="s">
        <v>370</v>
      </c>
    </row>
    <row r="10" spans="1:19" s="15" customFormat="1" ht="78" customHeight="1">
      <c r="A10" s="20" t="s">
        <v>418</v>
      </c>
      <c r="B10" s="20" t="s">
        <v>334</v>
      </c>
      <c r="C10" s="20" t="s">
        <v>328</v>
      </c>
      <c r="D10" s="20" t="s">
        <v>419</v>
      </c>
      <c r="E10" s="20" t="s">
        <v>357</v>
      </c>
      <c r="F10" s="20" t="s">
        <v>420</v>
      </c>
      <c r="G10" s="20" t="s">
        <v>421</v>
      </c>
      <c r="H10" s="20" t="s">
        <v>422</v>
      </c>
      <c r="I10" s="20" t="s">
        <v>423</v>
      </c>
      <c r="J10" s="20" t="s">
        <v>424</v>
      </c>
      <c r="K10" s="20" t="s">
        <v>363</v>
      </c>
      <c r="L10" s="20" t="s">
        <v>425</v>
      </c>
      <c r="M10" s="20" t="s">
        <v>426</v>
      </c>
      <c r="N10" s="20" t="s">
        <v>58</v>
      </c>
      <c r="O10" s="20" t="s">
        <v>427</v>
      </c>
      <c r="P10" s="20" t="s">
        <v>428</v>
      </c>
      <c r="Q10" s="20" t="s">
        <v>429</v>
      </c>
      <c r="R10" s="20" t="s">
        <v>369</v>
      </c>
      <c r="S10" s="20" t="s">
        <v>370</v>
      </c>
    </row>
    <row r="11" spans="1:19" s="16" customFormat="1" ht="78" customHeight="1">
      <c r="A11" s="21" t="s">
        <v>430</v>
      </c>
      <c r="B11" s="21" t="s">
        <v>431</v>
      </c>
      <c r="C11" s="21" t="s">
        <v>328</v>
      </c>
      <c r="D11" s="21" t="s">
        <v>432</v>
      </c>
      <c r="E11" s="21"/>
      <c r="F11" s="21"/>
      <c r="G11" s="21"/>
      <c r="H11" s="21" t="s">
        <v>433</v>
      </c>
      <c r="I11" s="21" t="s">
        <v>434</v>
      </c>
      <c r="J11" s="21" t="s">
        <v>362</v>
      </c>
      <c r="K11" s="21" t="s">
        <v>363</v>
      </c>
      <c r="L11" s="21" t="s">
        <v>435</v>
      </c>
      <c r="M11" s="21" t="s">
        <v>436</v>
      </c>
      <c r="N11" s="21" t="s">
        <v>45</v>
      </c>
      <c r="O11" s="21" t="s">
        <v>437</v>
      </c>
      <c r="P11" s="21"/>
      <c r="Q11" s="21"/>
      <c r="R11" s="21"/>
      <c r="S11" s="21"/>
    </row>
    <row r="12" spans="1:19" s="14" customFormat="1" ht="78" customHeight="1">
      <c r="A12" s="22" t="s">
        <v>438</v>
      </c>
      <c r="B12" s="19" t="s">
        <v>439</v>
      </c>
      <c r="C12" s="19" t="s">
        <v>328</v>
      </c>
      <c r="D12" s="19" t="s">
        <v>372</v>
      </c>
      <c r="E12" s="19"/>
      <c r="F12" s="19"/>
      <c r="G12" s="19"/>
      <c r="H12" s="19" t="s">
        <v>440</v>
      </c>
      <c r="I12" s="19" t="s">
        <v>441</v>
      </c>
      <c r="J12" s="19" t="s">
        <v>362</v>
      </c>
      <c r="K12" s="22" t="s">
        <v>363</v>
      </c>
      <c r="L12" s="19" t="s">
        <v>442</v>
      </c>
      <c r="M12" s="19" t="s">
        <v>436</v>
      </c>
      <c r="N12" s="19" t="s">
        <v>64</v>
      </c>
      <c r="O12" s="19" t="s">
        <v>437</v>
      </c>
      <c r="P12" s="19"/>
      <c r="Q12" s="19"/>
      <c r="R12" s="19"/>
      <c r="S12" s="19"/>
    </row>
    <row r="13" spans="1:19" s="16" customFormat="1" ht="78" customHeight="1">
      <c r="A13" s="22" t="s">
        <v>443</v>
      </c>
      <c r="B13" s="21" t="s">
        <v>444</v>
      </c>
      <c r="C13" s="21" t="s">
        <v>328</v>
      </c>
      <c r="D13" s="21" t="s">
        <v>372</v>
      </c>
      <c r="E13" s="21"/>
      <c r="F13" s="21"/>
      <c r="G13" s="21"/>
      <c r="H13" s="21" t="s">
        <v>445</v>
      </c>
      <c r="I13" s="19" t="s">
        <v>446</v>
      </c>
      <c r="J13" s="19" t="s">
        <v>362</v>
      </c>
      <c r="K13" s="22" t="s">
        <v>363</v>
      </c>
      <c r="L13" s="19" t="s">
        <v>447</v>
      </c>
      <c r="M13" s="19" t="s">
        <v>390</v>
      </c>
      <c r="N13" s="21" t="s">
        <v>64</v>
      </c>
      <c r="O13" s="21" t="s">
        <v>448</v>
      </c>
      <c r="P13" s="21"/>
      <c r="Q13" s="21"/>
      <c r="R13" s="21"/>
      <c r="S13" s="21"/>
    </row>
    <row r="14" spans="1:19" s="17" customFormat="1" ht="78" customHeight="1">
      <c r="A14" s="22" t="s">
        <v>443</v>
      </c>
      <c r="B14" s="19" t="s">
        <v>449</v>
      </c>
      <c r="C14" s="19" t="s">
        <v>328</v>
      </c>
      <c r="D14" s="19" t="s">
        <v>432</v>
      </c>
      <c r="E14" s="19"/>
      <c r="F14" s="19"/>
      <c r="G14" s="19"/>
      <c r="H14" s="19" t="s">
        <v>450</v>
      </c>
      <c r="I14" s="19" t="s">
        <v>451</v>
      </c>
      <c r="J14" s="19" t="s">
        <v>452</v>
      </c>
      <c r="K14" s="22" t="s">
        <v>363</v>
      </c>
      <c r="L14" s="19" t="s">
        <v>453</v>
      </c>
      <c r="M14" s="19" t="s">
        <v>454</v>
      </c>
      <c r="N14" s="19" t="s">
        <v>62</v>
      </c>
      <c r="O14" s="19" t="s">
        <v>454</v>
      </c>
      <c r="P14" s="19"/>
      <c r="Q14" s="19"/>
      <c r="R14" s="19"/>
      <c r="S14" s="19"/>
    </row>
    <row r="15" spans="1:19" s="16" customFormat="1" ht="78" customHeight="1">
      <c r="A15" s="21" t="s">
        <v>455</v>
      </c>
      <c r="B15" s="21" t="s">
        <v>456</v>
      </c>
      <c r="C15" s="21" t="s">
        <v>328</v>
      </c>
      <c r="D15" s="21" t="s">
        <v>457</v>
      </c>
      <c r="E15" s="21"/>
      <c r="F15" s="21"/>
      <c r="G15" s="21"/>
      <c r="H15" s="21" t="s">
        <v>458</v>
      </c>
      <c r="I15" s="21" t="s">
        <v>459</v>
      </c>
      <c r="J15" s="19" t="s">
        <v>362</v>
      </c>
      <c r="K15" s="22" t="s">
        <v>363</v>
      </c>
      <c r="L15" s="19" t="s">
        <v>460</v>
      </c>
      <c r="M15" s="19" t="s">
        <v>436</v>
      </c>
      <c r="N15" s="21" t="s">
        <v>45</v>
      </c>
      <c r="O15" s="21" t="s">
        <v>437</v>
      </c>
      <c r="P15" s="21"/>
      <c r="Q15" s="21"/>
      <c r="R15" s="21"/>
      <c r="S15" s="21"/>
    </row>
    <row r="16" spans="1:19" s="14" customFormat="1" ht="78" customHeight="1">
      <c r="A16" s="19" t="s">
        <v>461</v>
      </c>
      <c r="B16" s="19" t="s">
        <v>462</v>
      </c>
      <c r="C16" s="19" t="s">
        <v>328</v>
      </c>
      <c r="D16" s="19" t="s">
        <v>463</v>
      </c>
      <c r="E16" s="19"/>
      <c r="F16" s="19"/>
      <c r="G16" s="19"/>
      <c r="H16" s="19" t="s">
        <v>464</v>
      </c>
      <c r="I16" s="19" t="s">
        <v>459</v>
      </c>
      <c r="J16" s="19" t="s">
        <v>362</v>
      </c>
      <c r="K16" s="22" t="s">
        <v>363</v>
      </c>
      <c r="L16" s="19" t="s">
        <v>465</v>
      </c>
      <c r="M16" s="19" t="s">
        <v>466</v>
      </c>
      <c r="N16" s="19" t="s">
        <v>73</v>
      </c>
      <c r="O16" s="19" t="s">
        <v>437</v>
      </c>
      <c r="P16" s="19"/>
      <c r="Q16" s="19"/>
      <c r="R16" s="19"/>
      <c r="S16" s="19"/>
    </row>
    <row r="17" spans="1:19" s="18" customFormat="1" ht="78" customHeight="1">
      <c r="A17" s="21" t="s">
        <v>467</v>
      </c>
      <c r="B17" s="21" t="s">
        <v>468</v>
      </c>
      <c r="C17" s="21" t="s">
        <v>328</v>
      </c>
      <c r="D17" s="21" t="s">
        <v>457</v>
      </c>
      <c r="E17" s="21"/>
      <c r="F17" s="21"/>
      <c r="G17" s="21"/>
      <c r="H17" s="21" t="s">
        <v>469</v>
      </c>
      <c r="I17" s="21" t="s">
        <v>470</v>
      </c>
      <c r="J17" s="21" t="s">
        <v>362</v>
      </c>
      <c r="K17" s="21" t="s">
        <v>363</v>
      </c>
      <c r="L17" s="21" t="s">
        <v>471</v>
      </c>
      <c r="M17" s="21" t="s">
        <v>436</v>
      </c>
      <c r="N17" s="21" t="s">
        <v>62</v>
      </c>
      <c r="O17" s="21" t="s">
        <v>437</v>
      </c>
      <c r="P17" s="21"/>
      <c r="Q17" s="21"/>
      <c r="R17" s="21"/>
      <c r="S17" s="21"/>
    </row>
    <row r="18" spans="1:19" s="14" customFormat="1" ht="78" customHeight="1">
      <c r="A18" s="19"/>
      <c r="B18" s="19"/>
      <c r="C18" s="19"/>
      <c r="D18" s="19"/>
      <c r="E18" s="19"/>
      <c r="F18" s="19"/>
      <c r="G18" s="19"/>
      <c r="H18" s="19"/>
      <c r="I18" s="19"/>
      <c r="J18" s="19"/>
      <c r="K18" s="19"/>
      <c r="L18" s="19"/>
      <c r="M18" s="19"/>
      <c r="N18" s="19"/>
      <c r="O18" s="19"/>
      <c r="P18" s="19"/>
      <c r="Q18" s="19"/>
      <c r="R18" s="19"/>
      <c r="S18" s="19"/>
    </row>
    <row r="19" spans="1:19" s="14" customFormat="1" ht="78" customHeight="1">
      <c r="A19" s="19"/>
      <c r="B19" s="19"/>
      <c r="C19" s="19"/>
      <c r="D19" s="19"/>
      <c r="E19" s="19"/>
      <c r="F19" s="19"/>
      <c r="G19" s="19"/>
      <c r="H19" s="19"/>
      <c r="I19" s="19"/>
      <c r="J19" s="19"/>
      <c r="K19" s="19"/>
      <c r="L19" s="19"/>
      <c r="M19" s="19"/>
      <c r="N19" s="19"/>
      <c r="O19" s="19"/>
      <c r="P19" s="19"/>
      <c r="Q19" s="19"/>
      <c r="R19" s="19"/>
      <c r="S19" s="19"/>
    </row>
    <row r="20" spans="1:19" s="18" customFormat="1" ht="78" customHeight="1">
      <c r="A20" s="21" t="s">
        <v>472</v>
      </c>
      <c r="B20" s="21" t="s">
        <v>326</v>
      </c>
      <c r="C20" s="21" t="s">
        <v>473</v>
      </c>
      <c r="D20" s="21" t="s">
        <v>406</v>
      </c>
      <c r="E20" s="21" t="s">
        <v>474</v>
      </c>
      <c r="F20" s="21" t="s">
        <v>475</v>
      </c>
      <c r="G20" s="21" t="s">
        <v>476</v>
      </c>
      <c r="H20" s="21" t="s">
        <v>477</v>
      </c>
      <c r="I20" s="21" t="s">
        <v>478</v>
      </c>
      <c r="J20" s="21" t="s">
        <v>479</v>
      </c>
      <c r="K20" s="21" t="s">
        <v>480</v>
      </c>
      <c r="L20" s="21" t="s">
        <v>481</v>
      </c>
      <c r="M20" s="21" t="s">
        <v>482</v>
      </c>
      <c r="N20" s="21" t="s">
        <v>62</v>
      </c>
      <c r="O20" s="21" t="s">
        <v>483</v>
      </c>
      <c r="P20" s="21" t="s">
        <v>484</v>
      </c>
      <c r="Q20" s="21" t="s">
        <v>485</v>
      </c>
      <c r="R20" s="21" t="s">
        <v>369</v>
      </c>
      <c r="S20" s="21" t="s">
        <v>370</v>
      </c>
    </row>
    <row r="21" spans="1:19" s="14" customFormat="1" ht="78" customHeight="1">
      <c r="A21" s="22" t="s">
        <v>486</v>
      </c>
      <c r="B21" s="22" t="s">
        <v>487</v>
      </c>
      <c r="C21" s="22" t="s">
        <v>473</v>
      </c>
      <c r="D21" s="22" t="s">
        <v>488</v>
      </c>
      <c r="E21" s="22" t="s">
        <v>489</v>
      </c>
      <c r="F21" s="22" t="s">
        <v>490</v>
      </c>
      <c r="G21" s="22" t="s">
        <v>491</v>
      </c>
      <c r="H21" s="22" t="s">
        <v>492</v>
      </c>
      <c r="I21" s="22" t="s">
        <v>493</v>
      </c>
      <c r="J21" s="19" t="s">
        <v>479</v>
      </c>
      <c r="K21" s="22" t="s">
        <v>480</v>
      </c>
      <c r="L21" s="22" t="s">
        <v>494</v>
      </c>
      <c r="M21" s="22" t="s">
        <v>495</v>
      </c>
      <c r="N21" s="22" t="s">
        <v>58</v>
      </c>
      <c r="O21" s="22" t="s">
        <v>496</v>
      </c>
      <c r="P21" s="22" t="s">
        <v>497</v>
      </c>
      <c r="Q21" s="22" t="s">
        <v>498</v>
      </c>
      <c r="R21" s="22" t="s">
        <v>417</v>
      </c>
      <c r="S21" s="22" t="s">
        <v>370</v>
      </c>
    </row>
    <row r="22" spans="1:19" s="16" customFormat="1" ht="78" customHeight="1">
      <c r="A22" s="21" t="s">
        <v>499</v>
      </c>
      <c r="B22" s="21" t="s">
        <v>500</v>
      </c>
      <c r="C22" s="21" t="s">
        <v>473</v>
      </c>
      <c r="D22" s="21" t="s">
        <v>237</v>
      </c>
      <c r="E22" s="21"/>
      <c r="F22" s="21"/>
      <c r="G22" s="21"/>
      <c r="H22" s="21" t="s">
        <v>501</v>
      </c>
      <c r="I22" s="21" t="s">
        <v>478</v>
      </c>
      <c r="J22" s="21" t="s">
        <v>479</v>
      </c>
      <c r="K22" s="21" t="s">
        <v>480</v>
      </c>
      <c r="L22" s="21" t="s">
        <v>502</v>
      </c>
      <c r="M22" s="21"/>
      <c r="N22" s="21" t="s">
        <v>62</v>
      </c>
      <c r="O22" s="21" t="s">
        <v>483</v>
      </c>
      <c r="P22" s="21"/>
      <c r="Q22" s="21"/>
      <c r="R22" s="21"/>
      <c r="S22" s="21"/>
    </row>
    <row r="23" spans="1:19" s="17" customFormat="1" ht="78" customHeight="1">
      <c r="A23" s="19" t="s">
        <v>503</v>
      </c>
      <c r="B23" s="19" t="s">
        <v>504</v>
      </c>
      <c r="C23" s="19" t="s">
        <v>473</v>
      </c>
      <c r="D23" s="19" t="s">
        <v>327</v>
      </c>
      <c r="E23" s="19" t="s">
        <v>489</v>
      </c>
      <c r="F23" s="19" t="s">
        <v>505</v>
      </c>
      <c r="G23" s="19" t="s">
        <v>506</v>
      </c>
      <c r="H23" s="19" t="s">
        <v>507</v>
      </c>
      <c r="I23" s="19" t="s">
        <v>478</v>
      </c>
      <c r="J23" s="19" t="s">
        <v>479</v>
      </c>
      <c r="K23" s="19" t="s">
        <v>480</v>
      </c>
      <c r="L23" s="19" t="s">
        <v>378</v>
      </c>
      <c r="M23" s="19" t="s">
        <v>495</v>
      </c>
      <c r="N23" s="19" t="s">
        <v>45</v>
      </c>
      <c r="O23" s="19" t="s">
        <v>508</v>
      </c>
      <c r="P23" s="19" t="s">
        <v>509</v>
      </c>
      <c r="Q23" s="19" t="s">
        <v>510</v>
      </c>
      <c r="R23" s="19" t="s">
        <v>417</v>
      </c>
      <c r="S23" s="19" t="s">
        <v>370</v>
      </c>
    </row>
    <row r="24" spans="1:19" s="16" customFormat="1" ht="78" customHeight="1">
      <c r="A24" s="21" t="s">
        <v>511</v>
      </c>
      <c r="B24" s="21" t="s">
        <v>512</v>
      </c>
      <c r="C24" s="21" t="s">
        <v>473</v>
      </c>
      <c r="D24" s="21" t="s">
        <v>513</v>
      </c>
      <c r="E24" s="21" t="s">
        <v>489</v>
      </c>
      <c r="F24" s="21" t="s">
        <v>514</v>
      </c>
      <c r="G24" s="21" t="s">
        <v>515</v>
      </c>
      <c r="H24" s="21" t="s">
        <v>516</v>
      </c>
      <c r="I24" s="21" t="s">
        <v>478</v>
      </c>
      <c r="J24" s="21" t="s">
        <v>479</v>
      </c>
      <c r="K24" s="21" t="s">
        <v>480</v>
      </c>
      <c r="L24" s="21" t="s">
        <v>378</v>
      </c>
      <c r="M24" s="21" t="s">
        <v>495</v>
      </c>
      <c r="N24" s="21" t="s">
        <v>62</v>
      </c>
      <c r="O24" s="21" t="s">
        <v>517</v>
      </c>
      <c r="P24" s="21" t="s">
        <v>518</v>
      </c>
      <c r="Q24" s="21" t="s">
        <v>519</v>
      </c>
      <c r="R24" s="21" t="s">
        <v>417</v>
      </c>
      <c r="S24" s="21" t="s">
        <v>370</v>
      </c>
    </row>
    <row r="25" spans="1:19" ht="78" customHeight="1">
      <c r="A25" s="3" t="s">
        <v>520</v>
      </c>
      <c r="B25" s="3" t="s">
        <v>521</v>
      </c>
      <c r="C25" s="3" t="s">
        <v>473</v>
      </c>
      <c r="D25" s="3" t="s">
        <v>327</v>
      </c>
      <c r="E25" s="3"/>
      <c r="F25" s="3"/>
      <c r="G25" s="3"/>
      <c r="H25" s="3" t="s">
        <v>522</v>
      </c>
      <c r="I25" s="3" t="s">
        <v>478</v>
      </c>
      <c r="J25" s="3" t="s">
        <v>479</v>
      </c>
      <c r="K25" s="3" t="s">
        <v>480</v>
      </c>
      <c r="L25" s="3" t="s">
        <v>378</v>
      </c>
      <c r="M25" s="3" t="s">
        <v>436</v>
      </c>
      <c r="N25" s="3" t="s">
        <v>58</v>
      </c>
      <c r="O25" s="3" t="s">
        <v>523</v>
      </c>
      <c r="P25" s="3"/>
      <c r="Q25" s="3"/>
      <c r="R25" s="3"/>
      <c r="S25" s="3"/>
    </row>
    <row r="26" spans="1:19" s="16" customFormat="1" ht="78" customHeight="1">
      <c r="A26" s="21" t="s">
        <v>524</v>
      </c>
      <c r="B26" s="21" t="s">
        <v>525</v>
      </c>
      <c r="C26" s="21" t="s">
        <v>473</v>
      </c>
      <c r="D26" s="21" t="s">
        <v>327</v>
      </c>
      <c r="E26" s="21"/>
      <c r="F26" s="21"/>
      <c r="G26" s="21"/>
      <c r="H26" s="21" t="s">
        <v>526</v>
      </c>
      <c r="I26" s="21" t="s">
        <v>478</v>
      </c>
      <c r="J26" s="21" t="s">
        <v>479</v>
      </c>
      <c r="K26" s="21" t="s">
        <v>480</v>
      </c>
      <c r="L26" s="21" t="s">
        <v>378</v>
      </c>
      <c r="M26" s="21" t="s">
        <v>436</v>
      </c>
      <c r="N26" s="21" t="s">
        <v>62</v>
      </c>
      <c r="O26" s="21" t="s">
        <v>527</v>
      </c>
      <c r="P26" s="21"/>
      <c r="Q26" s="21"/>
      <c r="R26" s="21"/>
      <c r="S26" s="21"/>
    </row>
    <row r="27" spans="1:19" ht="78" customHeight="1">
      <c r="A27" s="3" t="s">
        <v>528</v>
      </c>
      <c r="B27" s="3" t="s">
        <v>529</v>
      </c>
      <c r="C27" s="3" t="s">
        <v>473</v>
      </c>
      <c r="D27" s="3" t="s">
        <v>327</v>
      </c>
      <c r="E27" s="3"/>
      <c r="F27" s="3"/>
      <c r="G27" s="3"/>
      <c r="H27" s="3" t="s">
        <v>530</v>
      </c>
      <c r="I27" s="3" t="s">
        <v>478</v>
      </c>
      <c r="J27" s="3" t="s">
        <v>531</v>
      </c>
      <c r="K27" s="3" t="s">
        <v>480</v>
      </c>
      <c r="L27" s="3" t="s">
        <v>378</v>
      </c>
      <c r="M27" s="3" t="s">
        <v>436</v>
      </c>
      <c r="N27" s="3" t="s">
        <v>73</v>
      </c>
      <c r="O27" s="3" t="s">
        <v>532</v>
      </c>
      <c r="P27" s="3"/>
      <c r="Q27" s="3"/>
      <c r="R27" s="3"/>
      <c r="S27" s="3"/>
    </row>
    <row r="28" spans="1:19" s="16" customFormat="1" ht="78" customHeight="1">
      <c r="A28" s="21" t="s">
        <v>533</v>
      </c>
      <c r="B28" s="21" t="s">
        <v>534</v>
      </c>
      <c r="C28" s="21" t="s">
        <v>473</v>
      </c>
      <c r="D28" s="21" t="s">
        <v>327</v>
      </c>
      <c r="E28" s="21"/>
      <c r="F28" s="21"/>
      <c r="G28" s="21"/>
      <c r="H28" s="21" t="s">
        <v>535</v>
      </c>
      <c r="I28" s="21" t="s">
        <v>478</v>
      </c>
      <c r="J28" s="21" t="s">
        <v>479</v>
      </c>
      <c r="K28" s="21" t="s">
        <v>480</v>
      </c>
      <c r="L28" s="21" t="s">
        <v>378</v>
      </c>
      <c r="M28" s="21" t="s">
        <v>436</v>
      </c>
      <c r="N28" s="21" t="s">
        <v>62</v>
      </c>
      <c r="O28" s="21" t="s">
        <v>527</v>
      </c>
      <c r="P28" s="21"/>
      <c r="Q28" s="21"/>
      <c r="R28" s="21"/>
      <c r="S28" s="21"/>
    </row>
    <row r="29" spans="1:19" ht="78" hidden="1" customHeight="1">
      <c r="A29" s="3" t="s">
        <v>511</v>
      </c>
      <c r="B29" s="3" t="s">
        <v>536</v>
      </c>
      <c r="C29" s="3" t="s">
        <v>473</v>
      </c>
      <c r="D29" s="3" t="s">
        <v>537</v>
      </c>
      <c r="E29" s="3" t="s">
        <v>489</v>
      </c>
      <c r="F29" s="3" t="s">
        <v>538</v>
      </c>
      <c r="G29" s="3" t="s">
        <v>515</v>
      </c>
      <c r="H29" s="3" t="s">
        <v>539</v>
      </c>
      <c r="I29" s="3" t="s">
        <v>540</v>
      </c>
      <c r="J29" s="3" t="s">
        <v>479</v>
      </c>
      <c r="K29" s="3" t="s">
        <v>541</v>
      </c>
      <c r="L29" s="3" t="s">
        <v>542</v>
      </c>
      <c r="M29" s="3" t="s">
        <v>495</v>
      </c>
      <c r="N29" s="3" t="s">
        <v>45</v>
      </c>
      <c r="O29" s="3" t="s">
        <v>543</v>
      </c>
      <c r="P29" s="3" t="s">
        <v>544</v>
      </c>
      <c r="Q29" s="3" t="s">
        <v>545</v>
      </c>
      <c r="R29" s="3" t="s">
        <v>417</v>
      </c>
      <c r="S29" s="3" t="s">
        <v>370</v>
      </c>
    </row>
    <row r="30" spans="1:19" ht="78" customHeight="1">
      <c r="A30" s="3"/>
      <c r="B30" s="3"/>
      <c r="C30" s="3"/>
      <c r="D30" s="3"/>
      <c r="E30" s="3"/>
      <c r="F30" s="3"/>
      <c r="G30" s="3"/>
      <c r="H30" s="3"/>
      <c r="I30" s="3"/>
      <c r="J30" s="3"/>
      <c r="K30" s="3"/>
      <c r="L30" s="3"/>
      <c r="M30" s="3"/>
      <c r="N30" s="3"/>
      <c r="O30" s="3"/>
      <c r="P30" s="3"/>
      <c r="Q30" s="3"/>
      <c r="R30" s="3"/>
      <c r="S30" s="3"/>
    </row>
    <row r="31" spans="1:19" s="17" customFormat="1" ht="78" customHeight="1">
      <c r="A31" s="19" t="s">
        <v>546</v>
      </c>
      <c r="B31" s="19" t="s">
        <v>547</v>
      </c>
      <c r="C31" s="19" t="s">
        <v>548</v>
      </c>
      <c r="D31" s="19" t="s">
        <v>549</v>
      </c>
      <c r="E31" s="19" t="s">
        <v>550</v>
      </c>
      <c r="F31" s="19" t="s">
        <v>551</v>
      </c>
      <c r="G31" s="19" t="s">
        <v>552</v>
      </c>
      <c r="H31" s="19" t="s">
        <v>553</v>
      </c>
      <c r="I31" s="19" t="s">
        <v>554</v>
      </c>
      <c r="J31" s="19" t="s">
        <v>555</v>
      </c>
      <c r="K31" s="19" t="s">
        <v>556</v>
      </c>
      <c r="L31" s="19" t="s">
        <v>557</v>
      </c>
      <c r="M31" s="19" t="s">
        <v>558</v>
      </c>
      <c r="N31" s="19" t="s">
        <v>45</v>
      </c>
      <c r="O31" s="19" t="s">
        <v>559</v>
      </c>
      <c r="P31" s="19" t="s">
        <v>560</v>
      </c>
      <c r="Q31" s="19" t="s">
        <v>561</v>
      </c>
      <c r="R31" s="19" t="s">
        <v>369</v>
      </c>
      <c r="S31" s="19" t="s">
        <v>370</v>
      </c>
    </row>
    <row r="32" spans="1:19" ht="78" customHeight="1">
      <c r="A32" s="3" t="s">
        <v>562</v>
      </c>
      <c r="B32" s="3" t="s">
        <v>563</v>
      </c>
      <c r="C32" s="3" t="s">
        <v>548</v>
      </c>
      <c r="D32" s="3" t="s">
        <v>564</v>
      </c>
      <c r="E32" s="3" t="s">
        <v>550</v>
      </c>
      <c r="F32" s="3" t="s">
        <v>551</v>
      </c>
      <c r="G32" s="3" t="s">
        <v>552</v>
      </c>
      <c r="H32" s="3" t="s">
        <v>565</v>
      </c>
      <c r="I32" s="3" t="s">
        <v>566</v>
      </c>
      <c r="J32" s="3" t="s">
        <v>567</v>
      </c>
      <c r="K32" s="3" t="s">
        <v>556</v>
      </c>
      <c r="L32" s="3" t="s">
        <v>568</v>
      </c>
      <c r="M32" s="3" t="s">
        <v>558</v>
      </c>
      <c r="N32" s="3" t="s">
        <v>58</v>
      </c>
      <c r="O32" s="3" t="s">
        <v>569</v>
      </c>
      <c r="P32" s="3" t="s">
        <v>570</v>
      </c>
      <c r="Q32" s="3" t="s">
        <v>571</v>
      </c>
      <c r="R32" s="3" t="s">
        <v>417</v>
      </c>
      <c r="S32" s="3" t="s">
        <v>370</v>
      </c>
    </row>
    <row r="33" spans="1:19" s="14" customFormat="1" ht="78" customHeight="1">
      <c r="A33" s="19" t="s">
        <v>572</v>
      </c>
      <c r="B33" s="19" t="s">
        <v>573</v>
      </c>
      <c r="C33" s="19" t="s">
        <v>548</v>
      </c>
      <c r="D33" s="19" t="s">
        <v>574</v>
      </c>
      <c r="E33" s="19" t="s">
        <v>550</v>
      </c>
      <c r="F33" s="19" t="s">
        <v>551</v>
      </c>
      <c r="G33" s="19" t="s">
        <v>552</v>
      </c>
      <c r="H33" s="19" t="s">
        <v>575</v>
      </c>
      <c r="I33" s="19" t="s">
        <v>576</v>
      </c>
      <c r="J33" s="19" t="s">
        <v>577</v>
      </c>
      <c r="K33" s="19" t="s">
        <v>578</v>
      </c>
      <c r="L33" s="19" t="s">
        <v>579</v>
      </c>
      <c r="M33" s="19" t="s">
        <v>558</v>
      </c>
      <c r="N33" s="19" t="s">
        <v>58</v>
      </c>
      <c r="O33" s="19" t="s">
        <v>559</v>
      </c>
      <c r="P33" s="19" t="s">
        <v>580</v>
      </c>
      <c r="Q33" s="19" t="s">
        <v>581</v>
      </c>
      <c r="R33" s="19" t="s">
        <v>417</v>
      </c>
      <c r="S33" s="19" t="s">
        <v>370</v>
      </c>
    </row>
    <row r="34" spans="1:19" ht="78" customHeight="1">
      <c r="A34" s="3" t="s">
        <v>582</v>
      </c>
      <c r="B34" s="3" t="s">
        <v>583</v>
      </c>
      <c r="C34" s="3" t="s">
        <v>548</v>
      </c>
      <c r="D34" s="3" t="s">
        <v>584</v>
      </c>
      <c r="E34" s="3" t="s">
        <v>550</v>
      </c>
      <c r="F34" s="3" t="s">
        <v>551</v>
      </c>
      <c r="G34" s="3" t="s">
        <v>552</v>
      </c>
      <c r="H34" s="3" t="s">
        <v>585</v>
      </c>
      <c r="I34" s="3" t="s">
        <v>586</v>
      </c>
      <c r="J34" s="3" t="s">
        <v>587</v>
      </c>
      <c r="K34" s="3" t="s">
        <v>588</v>
      </c>
      <c r="L34" s="3" t="s">
        <v>589</v>
      </c>
      <c r="M34" s="3" t="s">
        <v>558</v>
      </c>
      <c r="N34" s="3" t="s">
        <v>62</v>
      </c>
      <c r="O34" s="3" t="s">
        <v>590</v>
      </c>
      <c r="P34" s="3" t="s">
        <v>591</v>
      </c>
      <c r="Q34" s="3" t="s">
        <v>592</v>
      </c>
      <c r="R34" s="3" t="s">
        <v>417</v>
      </c>
      <c r="S34" s="3" t="s">
        <v>370</v>
      </c>
    </row>
    <row r="35" spans="1:19" s="14" customFormat="1" ht="78" customHeight="1">
      <c r="A35" s="19" t="s">
        <v>593</v>
      </c>
      <c r="B35" s="19" t="s">
        <v>594</v>
      </c>
      <c r="C35" s="19" t="s">
        <v>548</v>
      </c>
      <c r="D35" s="19" t="s">
        <v>595</v>
      </c>
      <c r="E35" s="19" t="s">
        <v>550</v>
      </c>
      <c r="F35" s="19" t="s">
        <v>551</v>
      </c>
      <c r="G35" s="19" t="s">
        <v>552</v>
      </c>
      <c r="H35" s="19" t="s">
        <v>596</v>
      </c>
      <c r="I35" s="19" t="s">
        <v>597</v>
      </c>
      <c r="J35" s="19" t="s">
        <v>598</v>
      </c>
      <c r="K35" s="19" t="s">
        <v>556</v>
      </c>
      <c r="L35" s="19" t="s">
        <v>599</v>
      </c>
      <c r="M35" s="19" t="s">
        <v>558</v>
      </c>
      <c r="N35" s="19" t="s">
        <v>58</v>
      </c>
      <c r="O35" s="19" t="s">
        <v>600</v>
      </c>
      <c r="P35" s="19" t="s">
        <v>601</v>
      </c>
      <c r="Q35" s="19" t="s">
        <v>602</v>
      </c>
      <c r="R35" s="19" t="s">
        <v>417</v>
      </c>
      <c r="S35" s="19" t="s">
        <v>370</v>
      </c>
    </row>
    <row r="36" spans="1:19" ht="78" hidden="1" customHeight="1">
      <c r="A36" s="3" t="s">
        <v>603</v>
      </c>
      <c r="B36" s="3" t="s">
        <v>604</v>
      </c>
      <c r="C36" s="3" t="s">
        <v>548</v>
      </c>
      <c r="D36" s="3" t="s">
        <v>605</v>
      </c>
      <c r="E36" s="3" t="s">
        <v>550</v>
      </c>
      <c r="F36" s="3" t="s">
        <v>551</v>
      </c>
      <c r="G36" s="3" t="s">
        <v>552</v>
      </c>
      <c r="H36" s="3" t="s">
        <v>606</v>
      </c>
      <c r="I36" s="3" t="s">
        <v>607</v>
      </c>
      <c r="J36" s="3" t="s">
        <v>608</v>
      </c>
      <c r="K36" s="3" t="s">
        <v>609</v>
      </c>
      <c r="L36" s="3" t="s">
        <v>610</v>
      </c>
      <c r="M36" s="19" t="s">
        <v>558</v>
      </c>
      <c r="N36" s="3" t="s">
        <v>45</v>
      </c>
      <c r="O36" s="3" t="s">
        <v>611</v>
      </c>
      <c r="P36" s="3" t="s">
        <v>612</v>
      </c>
      <c r="Q36" s="3" t="s">
        <v>613</v>
      </c>
      <c r="R36" s="3" t="s">
        <v>417</v>
      </c>
      <c r="S36" s="3" t="s">
        <v>370</v>
      </c>
    </row>
    <row r="37" spans="1:19" ht="65" customHeight="1">
      <c r="A37" s="3" t="s">
        <v>614</v>
      </c>
      <c r="B37" s="23" t="s">
        <v>615</v>
      </c>
      <c r="C37" s="23" t="s">
        <v>548</v>
      </c>
      <c r="D37" s="23" t="s">
        <v>432</v>
      </c>
      <c r="E37" s="23"/>
      <c r="F37" s="23"/>
      <c r="G37" s="23"/>
      <c r="H37" s="24" t="s">
        <v>616</v>
      </c>
      <c r="I37" s="23" t="s">
        <v>617</v>
      </c>
      <c r="J37" s="24" t="s">
        <v>618</v>
      </c>
      <c r="K37" s="23" t="s">
        <v>619</v>
      </c>
      <c r="L37" s="23" t="s">
        <v>620</v>
      </c>
      <c r="M37" s="19" t="s">
        <v>558</v>
      </c>
      <c r="N37" s="23" t="s">
        <v>64</v>
      </c>
      <c r="O37" s="23" t="s">
        <v>437</v>
      </c>
      <c r="P37" s="23"/>
      <c r="Q37" s="23"/>
    </row>
  </sheetData>
  <phoneticPr fontId="12" type="noConversion"/>
  <dataValidations count="4">
    <dataValidation type="list" sqref="C10 C11 C12 C13 C14 C15 C16 C17 C18 C19 C22 C23 C24 C25 C26 C27 C28 C29 C30 C37 C5:C9 C20:C21 C31:C36" xr:uid="{00000000-0002-0000-0300-000000000000}">
      <formula1>"装置,药物,道具"</formula1>
    </dataValidation>
    <dataValidation type="list" sqref="N10 N11 N12 N13 N14 N15 N16 N17 N18 N19 N22 N23 N24 N25 N28 N29 N30 N37 N5:N9 N20:N21 N26:N27 N31:N36" xr:uid="{00000000-0002-0000-0300-000001000000}">
      <formula1>"Common,Uncommon,Rare,Epic,Legendary"</formula1>
    </dataValidation>
    <dataValidation type="list" sqref="R10 R11 R12 R13 R14 R15 R16 R17 R18 R19 R22 R23 R24 R25 R26 R27 R28 R29 R30 R37 R5:R9 R20:R21 R31:R36" xr:uid="{00000000-0002-0000-0300-000002000000}">
      <formula1>"P0,P1,P2"</formula1>
    </dataValidation>
    <dataValidation type="list" sqref="S10 S11 S12 S13 S14 S15 S16 S17 S18 S19 S22 S23 S24 S25 S26 S27 S28 S29 S30 S37 S5:S9 S20:S21 S31:S36" xr:uid="{00000000-0002-0000-0300-000003000000}">
      <formula1>"待测试,待确认,已验证,搁置"</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22D3C"/>
  </sheetPr>
  <dimension ref="A2:N39"/>
  <sheetViews>
    <sheetView showGridLines="0" workbookViewId="0">
      <pane xSplit="2" ySplit="4" topLeftCell="C18" activePane="bottomRight" state="frozen"/>
      <selection pane="topRight"/>
      <selection pane="bottomLeft"/>
      <selection pane="bottomRight"/>
    </sheetView>
  </sheetViews>
  <sheetFormatPr defaultColWidth="9" defaultRowHeight="14"/>
  <cols>
    <col min="1" max="1" width="15" customWidth="1"/>
    <col min="2" max="2" width="12" customWidth="1"/>
    <col min="3" max="3" width="31" customWidth="1"/>
    <col min="4" max="5" width="12" customWidth="1"/>
    <col min="6" max="6" width="17" customWidth="1"/>
    <col min="7" max="7" width="22" customWidth="1"/>
    <col min="8" max="8" width="19" customWidth="1"/>
    <col min="9" max="9" width="12" customWidth="1"/>
    <col min="10" max="10" width="20" customWidth="1"/>
    <col min="11" max="11" width="12" customWidth="1"/>
    <col min="12" max="12" width="19" customWidth="1"/>
    <col min="13" max="13" width="25" customWidth="1"/>
    <col min="14" max="14" width="58" customWidth="1"/>
  </cols>
  <sheetData>
    <row r="2" spans="1:14" ht="48" customHeight="1">
      <c r="A2" s="1" t="s">
        <v>621</v>
      </c>
    </row>
    <row r="3" spans="1:14" ht="48" customHeight="1">
      <c r="A3" t="s">
        <v>622</v>
      </c>
    </row>
    <row r="4" spans="1:14" ht="34" customHeight="1">
      <c r="A4" s="2" t="s">
        <v>623</v>
      </c>
      <c r="B4" s="2" t="s">
        <v>336</v>
      </c>
      <c r="C4" s="2" t="s">
        <v>7</v>
      </c>
      <c r="D4" s="2" t="s">
        <v>624</v>
      </c>
      <c r="E4" s="2" t="s">
        <v>625</v>
      </c>
      <c r="F4" s="2" t="s">
        <v>626</v>
      </c>
      <c r="G4" s="2" t="s">
        <v>344</v>
      </c>
      <c r="H4" s="2" t="s">
        <v>627</v>
      </c>
      <c r="I4" s="2" t="s">
        <v>628</v>
      </c>
      <c r="J4" s="2" t="s">
        <v>629</v>
      </c>
      <c r="K4" s="2" t="s">
        <v>630</v>
      </c>
      <c r="L4" s="2" t="s">
        <v>631</v>
      </c>
      <c r="M4" s="2" t="s">
        <v>632</v>
      </c>
      <c r="N4" s="2" t="s">
        <v>633</v>
      </c>
    </row>
    <row r="5" spans="1:14" ht="48" customHeight="1">
      <c r="A5" s="3" t="s">
        <v>634</v>
      </c>
      <c r="B5" s="3" t="s">
        <v>355</v>
      </c>
      <c r="C5" s="3" t="s">
        <v>635</v>
      </c>
      <c r="D5" s="3" t="s">
        <v>259</v>
      </c>
      <c r="E5" s="12">
        <v>0.1</v>
      </c>
      <c r="F5" s="3" t="s">
        <v>636</v>
      </c>
      <c r="G5" s="3" t="s">
        <v>637</v>
      </c>
      <c r="H5" s="3" t="s">
        <v>362</v>
      </c>
      <c r="I5" s="12">
        <v>0</v>
      </c>
      <c r="J5" s="12" t="s">
        <v>363</v>
      </c>
      <c r="K5" s="12">
        <v>0</v>
      </c>
      <c r="L5" s="12">
        <v>1</v>
      </c>
      <c r="M5" s="3" t="s">
        <v>550</v>
      </c>
      <c r="N5" s="3" t="s">
        <v>638</v>
      </c>
    </row>
    <row r="6" spans="1:14" ht="48" customHeight="1">
      <c r="A6" s="6" t="s">
        <v>639</v>
      </c>
      <c r="B6" s="6" t="s">
        <v>355</v>
      </c>
      <c r="C6" s="6" t="s">
        <v>640</v>
      </c>
      <c r="D6" s="6" t="s">
        <v>641</v>
      </c>
      <c r="E6" s="13">
        <v>0.2</v>
      </c>
      <c r="F6" s="6" t="s">
        <v>49</v>
      </c>
      <c r="G6" s="6" t="s">
        <v>637</v>
      </c>
      <c r="H6" s="6" t="s">
        <v>362</v>
      </c>
      <c r="I6" s="13">
        <v>0</v>
      </c>
      <c r="J6" s="13" t="s">
        <v>363</v>
      </c>
      <c r="K6" s="13">
        <v>0</v>
      </c>
      <c r="L6" s="13">
        <v>1</v>
      </c>
      <c r="M6" s="6" t="s">
        <v>642</v>
      </c>
      <c r="N6" s="6" t="s">
        <v>643</v>
      </c>
    </row>
    <row r="7" spans="1:14" ht="48" customHeight="1">
      <c r="A7" s="3" t="s">
        <v>644</v>
      </c>
      <c r="B7" s="3" t="s">
        <v>371</v>
      </c>
      <c r="C7" s="3" t="s">
        <v>645</v>
      </c>
      <c r="D7" s="3" t="s">
        <v>259</v>
      </c>
      <c r="E7" s="12">
        <v>20</v>
      </c>
      <c r="F7" s="3" t="s">
        <v>646</v>
      </c>
      <c r="G7" s="3" t="s">
        <v>647</v>
      </c>
      <c r="H7" s="3" t="s">
        <v>648</v>
      </c>
      <c r="I7" s="12"/>
      <c r="J7" s="12" t="s">
        <v>649</v>
      </c>
      <c r="K7" s="12">
        <v>0</v>
      </c>
      <c r="L7" s="12"/>
      <c r="M7" s="3" t="s">
        <v>642</v>
      </c>
      <c r="N7" s="3" t="s">
        <v>650</v>
      </c>
    </row>
    <row r="8" spans="1:14" ht="48" customHeight="1">
      <c r="A8" s="6" t="s">
        <v>651</v>
      </c>
      <c r="B8" s="6" t="s">
        <v>371</v>
      </c>
      <c r="C8" s="6" t="s">
        <v>74</v>
      </c>
      <c r="D8" s="6" t="s">
        <v>652</v>
      </c>
      <c r="E8" s="13">
        <v>1.2</v>
      </c>
      <c r="F8" s="6" t="s">
        <v>87</v>
      </c>
      <c r="G8" s="6" t="s">
        <v>653</v>
      </c>
      <c r="H8" s="6" t="s">
        <v>362</v>
      </c>
      <c r="I8" s="13"/>
      <c r="J8" s="13" t="s">
        <v>654</v>
      </c>
      <c r="K8" s="13">
        <v>0</v>
      </c>
      <c r="L8" s="13">
        <v>3</v>
      </c>
      <c r="M8" s="6" t="s">
        <v>550</v>
      </c>
      <c r="N8" s="6" t="s">
        <v>655</v>
      </c>
    </row>
    <row r="9" spans="1:14" ht="48" customHeight="1">
      <c r="A9" s="3" t="s">
        <v>656</v>
      </c>
      <c r="B9" s="3" t="s">
        <v>383</v>
      </c>
      <c r="C9" s="3" t="s">
        <v>657</v>
      </c>
      <c r="D9" s="3" t="s">
        <v>641</v>
      </c>
      <c r="E9" s="12">
        <v>5</v>
      </c>
      <c r="F9" s="3" t="s">
        <v>154</v>
      </c>
      <c r="G9" s="3" t="s">
        <v>658</v>
      </c>
      <c r="H9" s="3" t="s">
        <v>362</v>
      </c>
      <c r="I9" s="12">
        <v>0</v>
      </c>
      <c r="J9" s="12" t="s">
        <v>363</v>
      </c>
      <c r="K9" s="12">
        <v>0.5</v>
      </c>
      <c r="L9" s="12">
        <v>2</v>
      </c>
      <c r="M9" s="3" t="s">
        <v>659</v>
      </c>
      <c r="N9" s="3" t="s">
        <v>660</v>
      </c>
    </row>
    <row r="10" spans="1:14" ht="48" customHeight="1">
      <c r="A10" s="6" t="s">
        <v>661</v>
      </c>
      <c r="B10" s="6" t="s">
        <v>394</v>
      </c>
      <c r="C10" s="6" t="s">
        <v>662</v>
      </c>
      <c r="D10" s="6" t="s">
        <v>663</v>
      </c>
      <c r="E10" s="13">
        <v>1</v>
      </c>
      <c r="F10" s="6" t="s">
        <v>664</v>
      </c>
      <c r="G10" s="6" t="s">
        <v>665</v>
      </c>
      <c r="H10" s="6" t="s">
        <v>362</v>
      </c>
      <c r="I10" s="13">
        <v>0</v>
      </c>
      <c r="J10" s="13" t="s">
        <v>363</v>
      </c>
      <c r="K10" s="13">
        <v>0.5</v>
      </c>
      <c r="L10" s="13">
        <v>2</v>
      </c>
      <c r="M10" s="6" t="s">
        <v>550</v>
      </c>
      <c r="N10" s="6" t="s">
        <v>666</v>
      </c>
    </row>
    <row r="11" spans="1:14" ht="48" customHeight="1">
      <c r="A11" s="3" t="s">
        <v>667</v>
      </c>
      <c r="B11" s="3" t="s">
        <v>405</v>
      </c>
      <c r="C11" s="3" t="s">
        <v>668</v>
      </c>
      <c r="D11" s="3" t="s">
        <v>259</v>
      </c>
      <c r="E11" s="12">
        <v>0.75</v>
      </c>
      <c r="F11" s="3" t="s">
        <v>669</v>
      </c>
      <c r="G11" s="3" t="s">
        <v>670</v>
      </c>
      <c r="H11" s="3" t="s">
        <v>671</v>
      </c>
      <c r="I11" s="12"/>
      <c r="J11" s="12" t="s">
        <v>672</v>
      </c>
      <c r="K11" s="12">
        <v>0</v>
      </c>
      <c r="L11" s="12">
        <v>1</v>
      </c>
      <c r="M11" s="3" t="s">
        <v>642</v>
      </c>
      <c r="N11" s="3" t="s">
        <v>673</v>
      </c>
    </row>
    <row r="12" spans="1:14" ht="48" customHeight="1">
      <c r="A12" s="6" t="s">
        <v>674</v>
      </c>
      <c r="B12" s="6" t="s">
        <v>418</v>
      </c>
      <c r="C12" s="6" t="s">
        <v>309</v>
      </c>
      <c r="D12" s="6" t="s">
        <v>259</v>
      </c>
      <c r="E12" s="13">
        <v>4</v>
      </c>
      <c r="F12" s="6" t="s">
        <v>68</v>
      </c>
      <c r="G12" s="6" t="s">
        <v>675</v>
      </c>
      <c r="H12" s="6" t="s">
        <v>328</v>
      </c>
      <c r="I12" s="13">
        <v>2</v>
      </c>
      <c r="J12" s="13" t="s">
        <v>676</v>
      </c>
      <c r="K12" s="13">
        <v>0</v>
      </c>
      <c r="L12" s="13">
        <v>1</v>
      </c>
      <c r="M12" s="6" t="s">
        <v>550</v>
      </c>
      <c r="N12" s="6" t="s">
        <v>677</v>
      </c>
    </row>
    <row r="13" spans="1:14" ht="48" customHeight="1">
      <c r="A13" s="3" t="s">
        <v>678</v>
      </c>
      <c r="B13" s="3" t="s">
        <v>418</v>
      </c>
      <c r="C13" s="3" t="s">
        <v>679</v>
      </c>
      <c r="D13" s="3" t="s">
        <v>259</v>
      </c>
      <c r="E13" s="12">
        <v>0.15</v>
      </c>
      <c r="F13" s="3" t="s">
        <v>680</v>
      </c>
      <c r="G13" s="3" t="s">
        <v>681</v>
      </c>
      <c r="H13" s="3" t="s">
        <v>328</v>
      </c>
      <c r="I13" s="12">
        <v>0</v>
      </c>
      <c r="J13" s="12" t="s">
        <v>363</v>
      </c>
      <c r="K13" s="12">
        <v>0</v>
      </c>
      <c r="L13" s="12"/>
      <c r="M13" s="3" t="s">
        <v>550</v>
      </c>
      <c r="N13" s="3" t="s">
        <v>682</v>
      </c>
    </row>
    <row r="14" spans="1:14" ht="48" customHeight="1">
      <c r="A14" s="6" t="s">
        <v>683</v>
      </c>
      <c r="B14" s="6" t="s">
        <v>430</v>
      </c>
      <c r="C14" s="6" t="s">
        <v>177</v>
      </c>
      <c r="D14" s="6" t="s">
        <v>259</v>
      </c>
      <c r="E14" s="13">
        <v>2</v>
      </c>
      <c r="F14" s="6" t="s">
        <v>684</v>
      </c>
      <c r="G14" s="6" t="s">
        <v>685</v>
      </c>
      <c r="H14" s="6" t="s">
        <v>671</v>
      </c>
      <c r="I14" s="13">
        <v>0</v>
      </c>
      <c r="J14" s="13" t="s">
        <v>363</v>
      </c>
      <c r="K14" s="13">
        <v>0</v>
      </c>
      <c r="L14" s="13">
        <v>2</v>
      </c>
      <c r="M14" s="6" t="s">
        <v>686</v>
      </c>
      <c r="N14" s="6" t="s">
        <v>687</v>
      </c>
    </row>
    <row r="15" spans="1:14" ht="48" customHeight="1">
      <c r="A15" s="3" t="s">
        <v>688</v>
      </c>
      <c r="B15" s="3" t="s">
        <v>430</v>
      </c>
      <c r="C15" s="3" t="s">
        <v>187</v>
      </c>
      <c r="D15" s="3" t="s">
        <v>259</v>
      </c>
      <c r="E15" s="12">
        <v>0.5</v>
      </c>
      <c r="F15" s="3" t="s">
        <v>49</v>
      </c>
      <c r="G15" s="3" t="s">
        <v>689</v>
      </c>
      <c r="H15" s="3" t="s">
        <v>690</v>
      </c>
      <c r="I15" s="12"/>
      <c r="J15" s="12" t="s">
        <v>654</v>
      </c>
      <c r="K15" s="12">
        <v>0</v>
      </c>
      <c r="L15" s="12">
        <v>2</v>
      </c>
      <c r="M15" s="3" t="s">
        <v>642</v>
      </c>
      <c r="N15" s="3" t="s">
        <v>691</v>
      </c>
    </row>
    <row r="16" spans="1:14" ht="48" customHeight="1">
      <c r="A16" s="6" t="s">
        <v>692</v>
      </c>
      <c r="B16" s="6" t="s">
        <v>430</v>
      </c>
      <c r="C16" s="6" t="s">
        <v>693</v>
      </c>
      <c r="D16" s="6" t="s">
        <v>652</v>
      </c>
      <c r="E16" s="13">
        <v>0.5</v>
      </c>
      <c r="F16" s="6" t="s">
        <v>87</v>
      </c>
      <c r="G16" s="6" t="s">
        <v>689</v>
      </c>
      <c r="H16" s="6" t="s">
        <v>690</v>
      </c>
      <c r="I16" s="13"/>
      <c r="J16" s="13" t="s">
        <v>694</v>
      </c>
      <c r="K16" s="13">
        <v>0</v>
      </c>
      <c r="L16" s="13">
        <v>2</v>
      </c>
      <c r="M16" s="6" t="s">
        <v>642</v>
      </c>
      <c r="N16" s="6" t="s">
        <v>695</v>
      </c>
    </row>
    <row r="17" spans="1:14" ht="48" customHeight="1">
      <c r="A17" s="3" t="s">
        <v>696</v>
      </c>
      <c r="B17" s="3" t="s">
        <v>472</v>
      </c>
      <c r="C17" s="3" t="s">
        <v>668</v>
      </c>
      <c r="D17" s="3" t="s">
        <v>641</v>
      </c>
      <c r="E17" s="12">
        <v>0.1</v>
      </c>
      <c r="F17" s="3" t="s">
        <v>669</v>
      </c>
      <c r="G17" s="3" t="s">
        <v>697</v>
      </c>
      <c r="H17" s="3" t="s">
        <v>698</v>
      </c>
      <c r="I17" s="12">
        <v>10</v>
      </c>
      <c r="J17" s="12" t="s">
        <v>699</v>
      </c>
      <c r="K17" s="12">
        <v>0</v>
      </c>
      <c r="L17" s="12">
        <v>1</v>
      </c>
      <c r="M17" s="3" t="s">
        <v>700</v>
      </c>
      <c r="N17" s="3" t="s">
        <v>701</v>
      </c>
    </row>
    <row r="18" spans="1:14" ht="48" customHeight="1">
      <c r="A18" s="6" t="s">
        <v>702</v>
      </c>
      <c r="B18" s="6" t="s">
        <v>472</v>
      </c>
      <c r="C18" s="6" t="s">
        <v>30</v>
      </c>
      <c r="D18" s="6" t="s">
        <v>652</v>
      </c>
      <c r="E18" s="13">
        <v>1.2</v>
      </c>
      <c r="F18" s="6" t="s">
        <v>87</v>
      </c>
      <c r="G18" s="6" t="s">
        <v>697</v>
      </c>
      <c r="H18" s="6" t="s">
        <v>703</v>
      </c>
      <c r="I18" s="13">
        <v>10</v>
      </c>
      <c r="J18" s="13" t="s">
        <v>699</v>
      </c>
      <c r="K18" s="13">
        <v>0</v>
      </c>
      <c r="L18" s="13">
        <v>1</v>
      </c>
      <c r="M18" s="6" t="s">
        <v>550</v>
      </c>
      <c r="N18" s="6" t="s">
        <v>704</v>
      </c>
    </row>
    <row r="19" spans="1:14" ht="48" customHeight="1">
      <c r="A19" s="3" t="s">
        <v>705</v>
      </c>
      <c r="B19" s="3" t="s">
        <v>486</v>
      </c>
      <c r="C19" s="3" t="s">
        <v>706</v>
      </c>
      <c r="D19" s="3" t="s">
        <v>652</v>
      </c>
      <c r="E19" s="12">
        <v>1.1499999999999999</v>
      </c>
      <c r="F19" s="3" t="s">
        <v>87</v>
      </c>
      <c r="G19" s="3" t="s">
        <v>707</v>
      </c>
      <c r="H19" s="3" t="s">
        <v>698</v>
      </c>
      <c r="I19" s="12">
        <v>20</v>
      </c>
      <c r="J19" s="12" t="s">
        <v>699</v>
      </c>
      <c r="K19" s="12">
        <v>0</v>
      </c>
      <c r="L19" s="12">
        <v>1</v>
      </c>
      <c r="M19" s="3" t="s">
        <v>700</v>
      </c>
      <c r="N19" s="3" t="s">
        <v>708</v>
      </c>
    </row>
    <row r="20" spans="1:14" ht="48" customHeight="1">
      <c r="A20" s="6" t="s">
        <v>709</v>
      </c>
      <c r="B20" s="6" t="s">
        <v>486</v>
      </c>
      <c r="C20" s="6" t="s">
        <v>74</v>
      </c>
      <c r="D20" s="6" t="s">
        <v>652</v>
      </c>
      <c r="E20" s="13">
        <v>0.9</v>
      </c>
      <c r="F20" s="6" t="s">
        <v>87</v>
      </c>
      <c r="G20" s="6" t="s">
        <v>697</v>
      </c>
      <c r="H20" s="6" t="s">
        <v>698</v>
      </c>
      <c r="I20" s="13">
        <v>20</v>
      </c>
      <c r="J20" s="13" t="s">
        <v>699</v>
      </c>
      <c r="K20" s="13">
        <v>0</v>
      </c>
      <c r="L20" s="13">
        <v>1</v>
      </c>
      <c r="M20" s="6" t="s">
        <v>550</v>
      </c>
      <c r="N20" s="6" t="s">
        <v>710</v>
      </c>
    </row>
    <row r="21" spans="1:14" ht="48" customHeight="1">
      <c r="A21" s="3" t="s">
        <v>711</v>
      </c>
      <c r="B21" s="3" t="s">
        <v>499</v>
      </c>
      <c r="C21" s="3" t="s">
        <v>129</v>
      </c>
      <c r="D21" s="3" t="s">
        <v>652</v>
      </c>
      <c r="E21" s="12">
        <v>0.6</v>
      </c>
      <c r="F21" s="3" t="s">
        <v>87</v>
      </c>
      <c r="G21" s="3" t="s">
        <v>697</v>
      </c>
      <c r="H21" s="3" t="s">
        <v>698</v>
      </c>
      <c r="I21" s="12">
        <v>20</v>
      </c>
      <c r="J21" s="12" t="s">
        <v>699</v>
      </c>
      <c r="K21" s="12">
        <v>0</v>
      </c>
      <c r="L21" s="12">
        <v>1</v>
      </c>
      <c r="M21" s="3" t="s">
        <v>700</v>
      </c>
      <c r="N21" s="3" t="s">
        <v>712</v>
      </c>
    </row>
    <row r="22" spans="1:14" ht="48" customHeight="1">
      <c r="A22" s="6" t="s">
        <v>713</v>
      </c>
      <c r="B22" s="6" t="s">
        <v>499</v>
      </c>
      <c r="C22" s="6" t="s">
        <v>121</v>
      </c>
      <c r="D22" s="6" t="s">
        <v>641</v>
      </c>
      <c r="E22" s="13">
        <v>0.1</v>
      </c>
      <c r="F22" s="6" t="s">
        <v>49</v>
      </c>
      <c r="G22" s="6" t="s">
        <v>697</v>
      </c>
      <c r="H22" s="6" t="s">
        <v>698</v>
      </c>
      <c r="I22" s="13">
        <v>20</v>
      </c>
      <c r="J22" s="13" t="s">
        <v>699</v>
      </c>
      <c r="K22" s="13">
        <v>0</v>
      </c>
      <c r="L22" s="13">
        <v>1</v>
      </c>
      <c r="M22" s="6" t="s">
        <v>550</v>
      </c>
      <c r="N22" s="6" t="s">
        <v>714</v>
      </c>
    </row>
    <row r="23" spans="1:14" ht="48" customHeight="1">
      <c r="A23" s="3" t="s">
        <v>715</v>
      </c>
      <c r="B23" s="3" t="s">
        <v>499</v>
      </c>
      <c r="C23" s="3" t="s">
        <v>74</v>
      </c>
      <c r="D23" s="3" t="s">
        <v>652</v>
      </c>
      <c r="E23" s="12">
        <v>0.9</v>
      </c>
      <c r="F23" s="3" t="s">
        <v>87</v>
      </c>
      <c r="G23" s="3" t="s">
        <v>697</v>
      </c>
      <c r="H23" s="3" t="s">
        <v>698</v>
      </c>
      <c r="I23" s="12">
        <v>20</v>
      </c>
      <c r="J23" s="12" t="s">
        <v>699</v>
      </c>
      <c r="K23" s="12">
        <v>0</v>
      </c>
      <c r="L23" s="12">
        <v>1</v>
      </c>
      <c r="M23" s="3" t="s">
        <v>550</v>
      </c>
      <c r="N23" s="3" t="s">
        <v>716</v>
      </c>
    </row>
    <row r="24" spans="1:14" ht="48" customHeight="1">
      <c r="A24" s="6" t="s">
        <v>717</v>
      </c>
      <c r="B24" s="6" t="s">
        <v>503</v>
      </c>
      <c r="C24" s="6" t="s">
        <v>718</v>
      </c>
      <c r="D24" s="6" t="s">
        <v>652</v>
      </c>
      <c r="E24" s="13">
        <v>1.25</v>
      </c>
      <c r="F24" s="6" t="s">
        <v>87</v>
      </c>
      <c r="G24" s="6" t="s">
        <v>637</v>
      </c>
      <c r="H24" s="6" t="s">
        <v>698</v>
      </c>
      <c r="I24" s="13">
        <v>20</v>
      </c>
      <c r="J24" s="13" t="s">
        <v>699</v>
      </c>
      <c r="K24" s="13">
        <v>0</v>
      </c>
      <c r="L24" s="13">
        <v>1</v>
      </c>
      <c r="M24" s="6" t="s">
        <v>700</v>
      </c>
      <c r="N24" s="6" t="s">
        <v>719</v>
      </c>
    </row>
    <row r="25" spans="1:14" ht="48" customHeight="1">
      <c r="A25" s="3" t="s">
        <v>720</v>
      </c>
      <c r="B25" s="3" t="s">
        <v>503</v>
      </c>
      <c r="C25" s="3" t="s">
        <v>721</v>
      </c>
      <c r="D25" s="3" t="s">
        <v>652</v>
      </c>
      <c r="E25" s="12">
        <v>0.8</v>
      </c>
      <c r="F25" s="3" t="s">
        <v>87</v>
      </c>
      <c r="G25" s="3" t="s">
        <v>722</v>
      </c>
      <c r="H25" s="3" t="s">
        <v>698</v>
      </c>
      <c r="I25" s="12">
        <v>20</v>
      </c>
      <c r="J25" s="12" t="s">
        <v>699</v>
      </c>
      <c r="K25" s="12">
        <v>0</v>
      </c>
      <c r="L25" s="12">
        <v>1</v>
      </c>
      <c r="M25" s="3" t="s">
        <v>550</v>
      </c>
      <c r="N25" s="3" t="s">
        <v>723</v>
      </c>
    </row>
    <row r="26" spans="1:14" ht="48" customHeight="1">
      <c r="A26" s="6" t="s">
        <v>724</v>
      </c>
      <c r="B26" s="6" t="s">
        <v>725</v>
      </c>
      <c r="C26" s="6" t="s">
        <v>74</v>
      </c>
      <c r="D26" s="6" t="s">
        <v>652</v>
      </c>
      <c r="E26" s="13">
        <v>1.3</v>
      </c>
      <c r="F26" s="6" t="s">
        <v>87</v>
      </c>
      <c r="G26" s="6" t="s">
        <v>697</v>
      </c>
      <c r="H26" s="6" t="s">
        <v>698</v>
      </c>
      <c r="I26" s="13">
        <v>20</v>
      </c>
      <c r="J26" s="13" t="s">
        <v>699</v>
      </c>
      <c r="K26" s="13">
        <v>0</v>
      </c>
      <c r="L26" s="13">
        <v>1</v>
      </c>
      <c r="M26" s="6" t="s">
        <v>700</v>
      </c>
      <c r="N26" s="6" t="s">
        <v>726</v>
      </c>
    </row>
    <row r="27" spans="1:14" ht="48" customHeight="1">
      <c r="A27" s="3" t="s">
        <v>727</v>
      </c>
      <c r="B27" s="3" t="s">
        <v>725</v>
      </c>
      <c r="C27" s="3" t="s">
        <v>693</v>
      </c>
      <c r="D27" s="3" t="s">
        <v>652</v>
      </c>
      <c r="E27" s="12">
        <v>1.5</v>
      </c>
      <c r="F27" s="3" t="s">
        <v>87</v>
      </c>
      <c r="G27" s="3" t="s">
        <v>697</v>
      </c>
      <c r="H27" s="3" t="s">
        <v>698</v>
      </c>
      <c r="I27" s="12">
        <v>20</v>
      </c>
      <c r="J27" s="12" t="s">
        <v>699</v>
      </c>
      <c r="K27" s="12">
        <v>0</v>
      </c>
      <c r="L27" s="12">
        <v>1</v>
      </c>
      <c r="M27" s="3" t="s">
        <v>550</v>
      </c>
      <c r="N27" s="3" t="s">
        <v>728</v>
      </c>
    </row>
    <row r="28" spans="1:14" ht="48" customHeight="1">
      <c r="A28" s="6" t="s">
        <v>729</v>
      </c>
      <c r="B28" s="6" t="s">
        <v>725</v>
      </c>
      <c r="C28" s="6" t="s">
        <v>30</v>
      </c>
      <c r="D28" s="6" t="s">
        <v>652</v>
      </c>
      <c r="E28" s="13">
        <v>1.2</v>
      </c>
      <c r="F28" s="6" t="s">
        <v>87</v>
      </c>
      <c r="G28" s="6" t="s">
        <v>697</v>
      </c>
      <c r="H28" s="6" t="s">
        <v>703</v>
      </c>
      <c r="I28" s="13">
        <v>20</v>
      </c>
      <c r="J28" s="13" t="s">
        <v>699</v>
      </c>
      <c r="K28" s="13">
        <v>0</v>
      </c>
      <c r="L28" s="13">
        <v>1</v>
      </c>
      <c r="M28" s="6" t="s">
        <v>550</v>
      </c>
      <c r="N28" s="6" t="s">
        <v>730</v>
      </c>
    </row>
    <row r="29" spans="1:14" ht="48" customHeight="1">
      <c r="A29" s="3" t="s">
        <v>731</v>
      </c>
      <c r="B29" s="3" t="s">
        <v>511</v>
      </c>
      <c r="C29" s="3" t="s">
        <v>732</v>
      </c>
      <c r="D29" s="3" t="s">
        <v>259</v>
      </c>
      <c r="E29" s="12">
        <v>1</v>
      </c>
      <c r="F29" s="3" t="s">
        <v>733</v>
      </c>
      <c r="G29" s="3" t="s">
        <v>734</v>
      </c>
      <c r="H29" s="3" t="s">
        <v>698</v>
      </c>
      <c r="I29" s="12">
        <v>20</v>
      </c>
      <c r="J29" s="12" t="s">
        <v>699</v>
      </c>
      <c r="K29" s="12">
        <v>0</v>
      </c>
      <c r="L29" s="12">
        <v>1</v>
      </c>
      <c r="M29" s="3" t="s">
        <v>700</v>
      </c>
      <c r="N29" s="3" t="s">
        <v>735</v>
      </c>
    </row>
    <row r="30" spans="1:14" ht="48" customHeight="1">
      <c r="A30" s="6" t="s">
        <v>736</v>
      </c>
      <c r="B30" s="6" t="s">
        <v>511</v>
      </c>
      <c r="C30" s="6" t="s">
        <v>74</v>
      </c>
      <c r="D30" s="6" t="s">
        <v>652</v>
      </c>
      <c r="E30" s="13">
        <v>0.9</v>
      </c>
      <c r="F30" s="6" t="s">
        <v>87</v>
      </c>
      <c r="G30" s="6" t="s">
        <v>697</v>
      </c>
      <c r="H30" s="6" t="s">
        <v>698</v>
      </c>
      <c r="I30" s="13">
        <v>20</v>
      </c>
      <c r="J30" s="13" t="s">
        <v>699</v>
      </c>
      <c r="K30" s="13">
        <v>0</v>
      </c>
      <c r="L30" s="13">
        <v>1</v>
      </c>
      <c r="M30" s="6" t="s">
        <v>550</v>
      </c>
      <c r="N30" s="6" t="s">
        <v>737</v>
      </c>
    </row>
    <row r="31" spans="1:14" ht="48" customHeight="1">
      <c r="A31" s="3" t="s">
        <v>738</v>
      </c>
      <c r="B31" s="3" t="s">
        <v>546</v>
      </c>
      <c r="C31" s="3" t="s">
        <v>739</v>
      </c>
      <c r="D31" s="3" t="s">
        <v>259</v>
      </c>
      <c r="E31" s="12">
        <v>1</v>
      </c>
      <c r="F31" s="3" t="s">
        <v>733</v>
      </c>
      <c r="G31" s="3" t="s">
        <v>647</v>
      </c>
      <c r="H31" s="3" t="s">
        <v>740</v>
      </c>
      <c r="I31" s="12"/>
      <c r="J31" s="12" t="s">
        <v>741</v>
      </c>
      <c r="K31" s="12">
        <v>0</v>
      </c>
      <c r="L31" s="12">
        <v>1</v>
      </c>
      <c r="M31" s="3" t="s">
        <v>550</v>
      </c>
      <c r="N31" s="3" t="s">
        <v>742</v>
      </c>
    </row>
    <row r="32" spans="1:14" ht="48" customHeight="1">
      <c r="A32" s="6" t="s">
        <v>743</v>
      </c>
      <c r="B32" s="6" t="s">
        <v>562</v>
      </c>
      <c r="C32" s="6" t="s">
        <v>30</v>
      </c>
      <c r="D32" s="6" t="s">
        <v>652</v>
      </c>
      <c r="E32" s="13">
        <v>0.9</v>
      </c>
      <c r="F32" s="6" t="s">
        <v>87</v>
      </c>
      <c r="G32" s="6" t="s">
        <v>697</v>
      </c>
      <c r="H32" s="6" t="s">
        <v>703</v>
      </c>
      <c r="I32" s="13"/>
      <c r="J32" s="13" t="s">
        <v>741</v>
      </c>
      <c r="K32" s="13">
        <v>0</v>
      </c>
      <c r="L32" s="13">
        <v>1</v>
      </c>
      <c r="M32" s="6" t="s">
        <v>550</v>
      </c>
      <c r="N32" s="6" t="s">
        <v>744</v>
      </c>
    </row>
    <row r="33" spans="1:14" ht="48" customHeight="1">
      <c r="A33" s="3" t="s">
        <v>745</v>
      </c>
      <c r="B33" s="3" t="s">
        <v>562</v>
      </c>
      <c r="C33" s="3" t="s">
        <v>74</v>
      </c>
      <c r="D33" s="3" t="s">
        <v>652</v>
      </c>
      <c r="E33" s="12">
        <v>0.95</v>
      </c>
      <c r="F33" s="3" t="s">
        <v>87</v>
      </c>
      <c r="G33" s="3" t="s">
        <v>697</v>
      </c>
      <c r="H33" s="3" t="s">
        <v>698</v>
      </c>
      <c r="I33" s="12"/>
      <c r="J33" s="12" t="s">
        <v>741</v>
      </c>
      <c r="K33" s="12">
        <v>0</v>
      </c>
      <c r="L33" s="12">
        <v>1</v>
      </c>
      <c r="M33" s="3" t="s">
        <v>550</v>
      </c>
      <c r="N33" s="3" t="s">
        <v>746</v>
      </c>
    </row>
    <row r="34" spans="1:14" ht="48" customHeight="1">
      <c r="A34" s="6" t="s">
        <v>747</v>
      </c>
      <c r="B34" s="6" t="s">
        <v>572</v>
      </c>
      <c r="C34" s="6" t="s">
        <v>748</v>
      </c>
      <c r="D34" s="6" t="s">
        <v>652</v>
      </c>
      <c r="E34" s="13">
        <v>1.1499999999999999</v>
      </c>
      <c r="F34" s="6" t="s">
        <v>87</v>
      </c>
      <c r="G34" s="6" t="s">
        <v>749</v>
      </c>
      <c r="H34" s="6" t="s">
        <v>750</v>
      </c>
      <c r="I34" s="13"/>
      <c r="J34" s="13" t="s">
        <v>741</v>
      </c>
      <c r="K34" s="13">
        <v>0</v>
      </c>
      <c r="L34" s="13">
        <v>1</v>
      </c>
      <c r="M34" s="6" t="s">
        <v>550</v>
      </c>
      <c r="N34" s="6" t="s">
        <v>751</v>
      </c>
    </row>
    <row r="35" spans="1:14" ht="48" customHeight="1">
      <c r="A35" s="3" t="s">
        <v>752</v>
      </c>
      <c r="B35" s="3" t="s">
        <v>582</v>
      </c>
      <c r="C35" s="3" t="s">
        <v>753</v>
      </c>
      <c r="D35" s="3" t="s">
        <v>259</v>
      </c>
      <c r="E35" s="12">
        <v>0.2</v>
      </c>
      <c r="F35" s="3" t="s">
        <v>49</v>
      </c>
      <c r="G35" s="3" t="s">
        <v>754</v>
      </c>
      <c r="H35" s="3" t="s">
        <v>755</v>
      </c>
      <c r="I35" s="12"/>
      <c r="J35" s="12" t="s">
        <v>588</v>
      </c>
      <c r="K35" s="12">
        <v>0</v>
      </c>
      <c r="L35" s="12">
        <v>1</v>
      </c>
      <c r="M35" s="3" t="s">
        <v>550</v>
      </c>
      <c r="N35" s="3" t="s">
        <v>756</v>
      </c>
    </row>
    <row r="36" spans="1:14" ht="48" customHeight="1">
      <c r="A36" s="6" t="s">
        <v>757</v>
      </c>
      <c r="B36" s="6" t="s">
        <v>593</v>
      </c>
      <c r="C36" s="6" t="s">
        <v>236</v>
      </c>
      <c r="D36" s="6" t="s">
        <v>641</v>
      </c>
      <c r="E36" s="13">
        <v>2</v>
      </c>
      <c r="F36" s="6" t="s">
        <v>171</v>
      </c>
      <c r="G36" s="6" t="s">
        <v>758</v>
      </c>
      <c r="H36" s="6" t="s">
        <v>354</v>
      </c>
      <c r="I36" s="13"/>
      <c r="J36" s="13" t="s">
        <v>741</v>
      </c>
      <c r="K36" s="13">
        <v>0</v>
      </c>
      <c r="L36" s="13">
        <v>1</v>
      </c>
      <c r="M36" s="6" t="s">
        <v>550</v>
      </c>
      <c r="N36" s="6" t="s">
        <v>759</v>
      </c>
    </row>
    <row r="37" spans="1:14" ht="48" customHeight="1">
      <c r="A37" s="3" t="s">
        <v>760</v>
      </c>
      <c r="B37" s="3" t="s">
        <v>593</v>
      </c>
      <c r="C37" s="3" t="s">
        <v>244</v>
      </c>
      <c r="D37" s="3" t="s">
        <v>641</v>
      </c>
      <c r="E37" s="12">
        <v>-0.2</v>
      </c>
      <c r="F37" s="3" t="s">
        <v>87</v>
      </c>
      <c r="G37" s="3" t="s">
        <v>758</v>
      </c>
      <c r="H37" s="3" t="s">
        <v>354</v>
      </c>
      <c r="I37" s="12"/>
      <c r="J37" s="12" t="s">
        <v>741</v>
      </c>
      <c r="K37" s="12">
        <v>0</v>
      </c>
      <c r="L37" s="12">
        <v>1</v>
      </c>
      <c r="M37" s="3" t="s">
        <v>550</v>
      </c>
      <c r="N37" s="3" t="s">
        <v>761</v>
      </c>
    </row>
    <row r="38" spans="1:14" ht="48" customHeight="1">
      <c r="A38" s="6" t="s">
        <v>762</v>
      </c>
      <c r="B38" s="6" t="s">
        <v>603</v>
      </c>
      <c r="C38" s="6" t="s">
        <v>763</v>
      </c>
      <c r="D38" s="6" t="s">
        <v>259</v>
      </c>
      <c r="E38" s="13">
        <v>2</v>
      </c>
      <c r="F38" s="6" t="s">
        <v>171</v>
      </c>
      <c r="G38" s="6" t="s">
        <v>764</v>
      </c>
      <c r="H38" s="6" t="s">
        <v>765</v>
      </c>
      <c r="I38" s="13"/>
      <c r="J38" s="13" t="s">
        <v>766</v>
      </c>
      <c r="K38" s="13">
        <v>0</v>
      </c>
      <c r="L38" s="13">
        <v>1</v>
      </c>
      <c r="M38" s="6" t="s">
        <v>550</v>
      </c>
      <c r="N38" s="6" t="s">
        <v>767</v>
      </c>
    </row>
    <row r="39" spans="1:14" ht="48" customHeight="1">
      <c r="A39" s="3" t="s">
        <v>768</v>
      </c>
      <c r="B39" s="3" t="s">
        <v>603</v>
      </c>
      <c r="C39" s="3" t="s">
        <v>769</v>
      </c>
      <c r="D39" s="3" t="s">
        <v>259</v>
      </c>
      <c r="E39" s="12">
        <v>2</v>
      </c>
      <c r="F39" s="3" t="s">
        <v>154</v>
      </c>
      <c r="G39" s="3" t="s">
        <v>770</v>
      </c>
      <c r="H39" s="3" t="s">
        <v>765</v>
      </c>
      <c r="I39" s="12">
        <v>0</v>
      </c>
      <c r="J39" s="12" t="s">
        <v>363</v>
      </c>
      <c r="K39" s="12">
        <v>0</v>
      </c>
      <c r="L39" s="12">
        <v>1</v>
      </c>
      <c r="M39" s="3" t="s">
        <v>550</v>
      </c>
      <c r="N39" s="3" t="s">
        <v>771</v>
      </c>
    </row>
  </sheetData>
  <phoneticPr fontId="12" type="noConversion"/>
  <dataValidations count="1">
    <dataValidation type="list" sqref="D5:D39" xr:uid="{00000000-0002-0000-0400-000000000000}">
      <formula1>"SET,ADD,MUL,EVENT"</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22D3C"/>
  </sheetPr>
  <dimension ref="A2:D21"/>
  <sheetViews>
    <sheetView showGridLines="0" zoomScale="85" zoomScaleNormal="85" workbookViewId="0">
      <pane xSplit="2" ySplit="4" topLeftCell="C6" activePane="bottomRight" state="frozen"/>
      <selection pane="topRight"/>
      <selection pane="bottomLeft"/>
      <selection pane="bottomRight" activeCell="D9" sqref="D9"/>
    </sheetView>
  </sheetViews>
  <sheetFormatPr defaultColWidth="9" defaultRowHeight="14"/>
  <cols>
    <col min="1" max="1" width="33" customWidth="1"/>
    <col min="2" max="2" width="20" customWidth="1"/>
    <col min="3" max="3" width="93" customWidth="1"/>
    <col min="4" max="4" width="28" customWidth="1"/>
  </cols>
  <sheetData>
    <row r="2" spans="1:4" ht="48" customHeight="1">
      <c r="A2" s="1" t="s">
        <v>772</v>
      </c>
    </row>
    <row r="3" spans="1:4" ht="17" customHeight="1"/>
    <row r="4" spans="1:4" ht="34" customHeight="1">
      <c r="A4" s="2" t="s">
        <v>7</v>
      </c>
      <c r="B4" s="2" t="s">
        <v>626</v>
      </c>
      <c r="C4" s="2" t="s">
        <v>773</v>
      </c>
      <c r="D4" s="2" t="s">
        <v>354</v>
      </c>
    </row>
    <row r="5" spans="1:4" ht="48" customHeight="1">
      <c r="A5" s="3" t="s">
        <v>635</v>
      </c>
      <c r="B5" s="3" t="s">
        <v>636</v>
      </c>
      <c r="C5" s="3" t="s">
        <v>774</v>
      </c>
      <c r="D5" s="3" t="s">
        <v>775</v>
      </c>
    </row>
    <row r="6" spans="1:4" ht="48" customHeight="1">
      <c r="A6" s="6" t="s">
        <v>640</v>
      </c>
      <c r="B6" s="6" t="s">
        <v>49</v>
      </c>
      <c r="C6" s="6" t="s">
        <v>776</v>
      </c>
      <c r="D6" s="6" t="s">
        <v>775</v>
      </c>
    </row>
    <row r="7" spans="1:4" ht="48" customHeight="1">
      <c r="A7" s="3" t="s">
        <v>645</v>
      </c>
      <c r="B7" s="3" t="s">
        <v>646</v>
      </c>
      <c r="C7" s="3" t="s">
        <v>777</v>
      </c>
      <c r="D7" s="3" t="s">
        <v>775</v>
      </c>
    </row>
    <row r="8" spans="1:4" ht="48" customHeight="1">
      <c r="A8" s="6" t="s">
        <v>657</v>
      </c>
      <c r="B8" s="6" t="s">
        <v>154</v>
      </c>
      <c r="C8" s="6" t="s">
        <v>778</v>
      </c>
      <c r="D8" s="6" t="s">
        <v>775</v>
      </c>
    </row>
    <row r="9" spans="1:4" ht="48" customHeight="1">
      <c r="A9" s="3" t="s">
        <v>662</v>
      </c>
      <c r="B9" s="3" t="s">
        <v>664</v>
      </c>
      <c r="C9" s="3" t="s">
        <v>779</v>
      </c>
      <c r="D9" s="3" t="s">
        <v>775</v>
      </c>
    </row>
    <row r="10" spans="1:4" ht="48" customHeight="1">
      <c r="A10" s="6" t="s">
        <v>668</v>
      </c>
      <c r="B10" s="6" t="s">
        <v>669</v>
      </c>
      <c r="C10" s="6" t="s">
        <v>780</v>
      </c>
      <c r="D10" s="6" t="s">
        <v>775</v>
      </c>
    </row>
    <row r="11" spans="1:4" ht="48" customHeight="1">
      <c r="A11" s="3" t="s">
        <v>679</v>
      </c>
      <c r="B11" s="3" t="s">
        <v>680</v>
      </c>
      <c r="C11" s="3" t="s">
        <v>781</v>
      </c>
      <c r="D11" s="3" t="s">
        <v>775</v>
      </c>
    </row>
    <row r="12" spans="1:4" ht="48" customHeight="1">
      <c r="A12" s="6" t="s">
        <v>693</v>
      </c>
      <c r="B12" s="6" t="s">
        <v>87</v>
      </c>
      <c r="C12" s="6" t="s">
        <v>782</v>
      </c>
      <c r="D12" s="6" t="s">
        <v>775</v>
      </c>
    </row>
    <row r="13" spans="1:4" ht="48" customHeight="1">
      <c r="A13" s="3" t="s">
        <v>706</v>
      </c>
      <c r="B13" s="3" t="s">
        <v>87</v>
      </c>
      <c r="C13" s="3" t="s">
        <v>783</v>
      </c>
      <c r="D13" s="3" t="s">
        <v>775</v>
      </c>
    </row>
    <row r="14" spans="1:4" ht="48" customHeight="1">
      <c r="A14" s="6" t="s">
        <v>718</v>
      </c>
      <c r="B14" s="6" t="s">
        <v>87</v>
      </c>
      <c r="C14" s="6" t="s">
        <v>784</v>
      </c>
      <c r="D14" s="6" t="s">
        <v>775</v>
      </c>
    </row>
    <row r="15" spans="1:4" ht="48" customHeight="1">
      <c r="A15" s="3" t="s">
        <v>721</v>
      </c>
      <c r="B15" s="3" t="s">
        <v>87</v>
      </c>
      <c r="C15" s="3" t="s">
        <v>785</v>
      </c>
      <c r="D15" s="3" t="s">
        <v>775</v>
      </c>
    </row>
    <row r="16" spans="1:4" ht="48" customHeight="1">
      <c r="A16" s="6" t="s">
        <v>732</v>
      </c>
      <c r="B16" s="6" t="s">
        <v>733</v>
      </c>
      <c r="C16" s="6" t="s">
        <v>786</v>
      </c>
      <c r="D16" s="6" t="s">
        <v>775</v>
      </c>
    </row>
    <row r="17" spans="1:4" ht="48" customHeight="1">
      <c r="A17" s="3" t="s">
        <v>739</v>
      </c>
      <c r="B17" s="3" t="s">
        <v>733</v>
      </c>
      <c r="C17" s="3" t="s">
        <v>787</v>
      </c>
      <c r="D17" s="3" t="s">
        <v>775</v>
      </c>
    </row>
    <row r="18" spans="1:4" ht="48" customHeight="1">
      <c r="A18" s="6" t="s">
        <v>748</v>
      </c>
      <c r="B18" s="6" t="s">
        <v>87</v>
      </c>
      <c r="C18" s="6" t="s">
        <v>788</v>
      </c>
      <c r="D18" s="6" t="s">
        <v>775</v>
      </c>
    </row>
    <row r="19" spans="1:4" ht="48" customHeight="1">
      <c r="A19" s="3" t="s">
        <v>753</v>
      </c>
      <c r="B19" s="3" t="s">
        <v>49</v>
      </c>
      <c r="C19" s="3" t="s">
        <v>789</v>
      </c>
      <c r="D19" s="3" t="s">
        <v>775</v>
      </c>
    </row>
    <row r="20" spans="1:4" ht="48" customHeight="1">
      <c r="A20" s="6" t="s">
        <v>763</v>
      </c>
      <c r="B20" s="6" t="s">
        <v>171</v>
      </c>
      <c r="C20" s="6" t="s">
        <v>790</v>
      </c>
      <c r="D20" s="6" t="s">
        <v>775</v>
      </c>
    </row>
    <row r="21" spans="1:4" ht="48" customHeight="1">
      <c r="A21" s="3" t="s">
        <v>769</v>
      </c>
      <c r="B21" s="3" t="s">
        <v>154</v>
      </c>
      <c r="C21" s="3" t="s">
        <v>791</v>
      </c>
      <c r="D21" s="3" t="s">
        <v>775</v>
      </c>
    </row>
  </sheetData>
  <phoneticPr fontId="1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22D3C"/>
  </sheetPr>
  <dimension ref="A2:E13"/>
  <sheetViews>
    <sheetView showGridLines="0" workbookViewId="0">
      <pane xSplit="2" ySplit="4" topLeftCell="C5" activePane="bottomRight" state="frozen"/>
      <selection pane="topRight"/>
      <selection pane="bottomLeft"/>
      <selection pane="bottomRight"/>
    </sheetView>
  </sheetViews>
  <sheetFormatPr defaultColWidth="9" defaultRowHeight="14"/>
  <cols>
    <col min="1" max="1" width="19" customWidth="1"/>
    <col min="2" max="2" width="31" customWidth="1"/>
    <col min="3" max="3" width="38" customWidth="1"/>
    <col min="4" max="5" width="80" customWidth="1"/>
  </cols>
  <sheetData>
    <row r="2" spans="1:5" ht="48" customHeight="1">
      <c r="A2" s="1" t="s">
        <v>792</v>
      </c>
    </row>
    <row r="3" spans="1:5" ht="48" customHeight="1"/>
    <row r="4" spans="1:5" ht="34" customHeight="1">
      <c r="A4" s="2" t="s">
        <v>793</v>
      </c>
      <c r="B4" s="2" t="s">
        <v>794</v>
      </c>
      <c r="C4" s="2" t="s">
        <v>795</v>
      </c>
      <c r="D4" s="2" t="s">
        <v>796</v>
      </c>
      <c r="E4" s="2" t="s">
        <v>797</v>
      </c>
    </row>
    <row r="5" spans="1:5" ht="48" customHeight="1">
      <c r="A5" s="3" t="s">
        <v>328</v>
      </c>
      <c r="B5" s="3" t="s">
        <v>798</v>
      </c>
      <c r="C5" s="3" t="s">
        <v>799</v>
      </c>
      <c r="D5" s="3" t="s">
        <v>800</v>
      </c>
      <c r="E5" s="3" t="s">
        <v>801</v>
      </c>
    </row>
    <row r="6" spans="1:5" ht="48" customHeight="1">
      <c r="A6" s="6" t="s">
        <v>473</v>
      </c>
      <c r="B6" s="6" t="s">
        <v>802</v>
      </c>
      <c r="C6" s="6" t="s">
        <v>803</v>
      </c>
      <c r="D6" s="6" t="s">
        <v>804</v>
      </c>
      <c r="E6" s="6" t="s">
        <v>805</v>
      </c>
    </row>
    <row r="7" spans="1:5" ht="48" customHeight="1">
      <c r="A7" s="3" t="s">
        <v>548</v>
      </c>
      <c r="B7" s="3" t="s">
        <v>806</v>
      </c>
      <c r="C7" s="3" t="s">
        <v>807</v>
      </c>
      <c r="D7" s="3" t="s">
        <v>808</v>
      </c>
      <c r="E7" s="3" t="s">
        <v>809</v>
      </c>
    </row>
    <row r="8" spans="1:5" ht="48" customHeight="1">
      <c r="A8" s="6" t="s">
        <v>810</v>
      </c>
      <c r="B8" s="6" t="s">
        <v>811</v>
      </c>
      <c r="C8" s="6" t="s">
        <v>812</v>
      </c>
      <c r="D8" s="6" t="s">
        <v>813</v>
      </c>
      <c r="E8" s="6" t="s">
        <v>814</v>
      </c>
    </row>
    <row r="9" spans="1:5" ht="48" customHeight="1">
      <c r="A9" s="3" t="s">
        <v>815</v>
      </c>
      <c r="B9" s="3" t="s">
        <v>816</v>
      </c>
      <c r="C9" s="3" t="s">
        <v>817</v>
      </c>
      <c r="D9" s="3" t="s">
        <v>818</v>
      </c>
      <c r="E9" s="3" t="s">
        <v>819</v>
      </c>
    </row>
    <row r="10" spans="1:5" ht="48" customHeight="1">
      <c r="A10" s="6" t="s">
        <v>820</v>
      </c>
      <c r="B10" s="6" t="s">
        <v>821</v>
      </c>
      <c r="C10" s="6" t="s">
        <v>822</v>
      </c>
      <c r="D10" s="6" t="s">
        <v>823</v>
      </c>
      <c r="E10" s="6" t="s">
        <v>824</v>
      </c>
    </row>
    <row r="11" spans="1:5" ht="48" customHeight="1">
      <c r="A11" s="3" t="s">
        <v>825</v>
      </c>
      <c r="B11" s="3" t="s">
        <v>826</v>
      </c>
      <c r="C11" s="3" t="s">
        <v>827</v>
      </c>
      <c r="D11" s="3" t="s">
        <v>828</v>
      </c>
      <c r="E11" s="3" t="s">
        <v>829</v>
      </c>
    </row>
    <row r="12" spans="1:5" ht="48" customHeight="1">
      <c r="A12" s="6" t="s">
        <v>830</v>
      </c>
      <c r="B12" s="6" t="s">
        <v>831</v>
      </c>
      <c r="C12" s="6" t="s">
        <v>832</v>
      </c>
      <c r="D12" s="6" t="s">
        <v>833</v>
      </c>
      <c r="E12" s="6" t="s">
        <v>834</v>
      </c>
    </row>
    <row r="13" spans="1:5" ht="48" customHeight="1">
      <c r="A13" s="3" t="s">
        <v>835</v>
      </c>
      <c r="B13" s="3" t="s">
        <v>836</v>
      </c>
      <c r="C13" s="3" t="s">
        <v>837</v>
      </c>
      <c r="D13" s="3" t="s">
        <v>838</v>
      </c>
      <c r="E13" s="3" t="s">
        <v>839</v>
      </c>
    </row>
  </sheetData>
  <phoneticPr fontId="1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22D3C"/>
  </sheetPr>
  <dimension ref="A2:F21"/>
  <sheetViews>
    <sheetView showGridLines="0" workbookViewId="0">
      <pane xSplit="2" ySplit="4" topLeftCell="C11" activePane="bottomRight" state="frozen"/>
      <selection pane="topRight"/>
      <selection pane="bottomLeft"/>
      <selection pane="bottomRight" activeCell="D11" sqref="D11"/>
    </sheetView>
  </sheetViews>
  <sheetFormatPr defaultColWidth="9" defaultRowHeight="14"/>
  <cols>
    <col min="1" max="1" width="12" customWidth="1"/>
    <col min="2" max="2" width="29" customWidth="1"/>
    <col min="3" max="3" width="26" customWidth="1"/>
    <col min="4" max="4" width="87" customWidth="1"/>
    <col min="5" max="5" width="86" customWidth="1"/>
    <col min="6" max="6" width="29" customWidth="1"/>
  </cols>
  <sheetData>
    <row r="2" spans="1:6" ht="48" customHeight="1">
      <c r="A2" s="1" t="s">
        <v>840</v>
      </c>
    </row>
    <row r="3" spans="1:6" ht="9" customHeight="1"/>
    <row r="4" spans="1:6" ht="34" customHeight="1">
      <c r="A4" s="2" t="s">
        <v>841</v>
      </c>
      <c r="B4" s="2" t="s">
        <v>842</v>
      </c>
      <c r="C4" s="2" t="s">
        <v>843</v>
      </c>
      <c r="D4" s="2" t="s">
        <v>844</v>
      </c>
      <c r="E4" s="2" t="s">
        <v>845</v>
      </c>
      <c r="F4" s="2" t="s">
        <v>846</v>
      </c>
    </row>
    <row r="5" spans="1:6" ht="48" customHeight="1">
      <c r="A5" s="3" t="s">
        <v>847</v>
      </c>
      <c r="B5" s="3" t="s">
        <v>848</v>
      </c>
      <c r="C5" s="3" t="s">
        <v>849</v>
      </c>
      <c r="D5" s="3" t="s">
        <v>850</v>
      </c>
      <c r="E5" s="3" t="s">
        <v>851</v>
      </c>
      <c r="F5" s="3" t="s">
        <v>852</v>
      </c>
    </row>
    <row r="6" spans="1:6" ht="48" customHeight="1">
      <c r="A6" s="6" t="s">
        <v>853</v>
      </c>
      <c r="B6" s="6" t="s">
        <v>854</v>
      </c>
      <c r="C6" s="6" t="s">
        <v>849</v>
      </c>
      <c r="D6" s="6" t="s">
        <v>855</v>
      </c>
      <c r="E6" s="6" t="s">
        <v>856</v>
      </c>
      <c r="F6" s="6" t="s">
        <v>857</v>
      </c>
    </row>
    <row r="7" spans="1:6" ht="48" customHeight="1">
      <c r="A7" s="3" t="s">
        <v>858</v>
      </c>
      <c r="B7" s="3" t="s">
        <v>859</v>
      </c>
      <c r="C7" s="3" t="s">
        <v>860</v>
      </c>
      <c r="D7" s="3" t="s">
        <v>861</v>
      </c>
      <c r="E7" s="3" t="s">
        <v>862</v>
      </c>
      <c r="F7" s="3" t="s">
        <v>863</v>
      </c>
    </row>
    <row r="8" spans="1:6" ht="48" customHeight="1">
      <c r="A8" s="6" t="s">
        <v>864</v>
      </c>
      <c r="B8" s="6" t="s">
        <v>865</v>
      </c>
      <c r="C8" s="6" t="s">
        <v>860</v>
      </c>
      <c r="D8" s="6" t="s">
        <v>866</v>
      </c>
      <c r="E8" s="6" t="s">
        <v>867</v>
      </c>
      <c r="F8" s="6" t="s">
        <v>868</v>
      </c>
    </row>
    <row r="9" spans="1:6" ht="48" customHeight="1">
      <c r="A9" s="3" t="s">
        <v>869</v>
      </c>
      <c r="B9" s="3" t="s">
        <v>870</v>
      </c>
      <c r="C9" s="3" t="s">
        <v>849</v>
      </c>
      <c r="D9" s="3" t="s">
        <v>871</v>
      </c>
      <c r="E9" s="3" t="s">
        <v>872</v>
      </c>
      <c r="F9" s="3" t="s">
        <v>582</v>
      </c>
    </row>
    <row r="10" spans="1:6" ht="48" customHeight="1">
      <c r="A10" s="6" t="s">
        <v>873</v>
      </c>
      <c r="B10" s="6" t="s">
        <v>874</v>
      </c>
      <c r="C10" s="6" t="s">
        <v>860</v>
      </c>
      <c r="D10" s="6" t="s">
        <v>875</v>
      </c>
      <c r="E10" s="6" t="s">
        <v>876</v>
      </c>
      <c r="F10" s="6" t="s">
        <v>877</v>
      </c>
    </row>
    <row r="11" spans="1:6" ht="48" customHeight="1">
      <c r="A11" s="3" t="s">
        <v>878</v>
      </c>
      <c r="B11" s="3" t="s">
        <v>879</v>
      </c>
      <c r="C11" s="3" t="s">
        <v>860</v>
      </c>
      <c r="D11" s="3" t="s">
        <v>880</v>
      </c>
      <c r="E11" s="3" t="s">
        <v>881</v>
      </c>
      <c r="F11" s="3" t="s">
        <v>882</v>
      </c>
    </row>
    <row r="12" spans="1:6" ht="48" customHeight="1">
      <c r="A12" s="6" t="s">
        <v>883</v>
      </c>
      <c r="B12" s="6" t="s">
        <v>884</v>
      </c>
      <c r="C12" s="6" t="s">
        <v>849</v>
      </c>
      <c r="D12" s="6" t="s">
        <v>885</v>
      </c>
      <c r="E12" s="6" t="s">
        <v>886</v>
      </c>
      <c r="F12" s="6" t="s">
        <v>852</v>
      </c>
    </row>
    <row r="13" spans="1:6" ht="48" customHeight="1">
      <c r="A13" s="3" t="s">
        <v>887</v>
      </c>
      <c r="B13" s="3" t="s">
        <v>888</v>
      </c>
      <c r="C13" s="3" t="s">
        <v>860</v>
      </c>
      <c r="D13" s="3" t="s">
        <v>889</v>
      </c>
      <c r="E13" s="3" t="s">
        <v>890</v>
      </c>
      <c r="F13" s="3" t="s">
        <v>572</v>
      </c>
    </row>
    <row r="14" spans="1:6" ht="48" customHeight="1">
      <c r="A14" s="6" t="s">
        <v>891</v>
      </c>
      <c r="B14" s="6" t="s">
        <v>892</v>
      </c>
      <c r="C14" s="6" t="s">
        <v>849</v>
      </c>
      <c r="D14" s="6" t="s">
        <v>893</v>
      </c>
      <c r="E14" s="6" t="s">
        <v>894</v>
      </c>
      <c r="F14" s="6" t="s">
        <v>852</v>
      </c>
    </row>
    <row r="15" spans="1:6" ht="48" customHeight="1">
      <c r="A15" s="3" t="s">
        <v>895</v>
      </c>
      <c r="B15" s="3" t="s">
        <v>896</v>
      </c>
      <c r="C15" s="3" t="s">
        <v>897</v>
      </c>
      <c r="D15" s="3" t="s">
        <v>898</v>
      </c>
      <c r="E15" s="3" t="s">
        <v>899</v>
      </c>
      <c r="F15" s="3" t="s">
        <v>900</v>
      </c>
    </row>
    <row r="16" spans="1:6" ht="48" customHeight="1">
      <c r="A16" s="6" t="s">
        <v>901</v>
      </c>
      <c r="B16" s="6" t="s">
        <v>902</v>
      </c>
      <c r="C16" s="6" t="s">
        <v>903</v>
      </c>
      <c r="D16" s="6" t="s">
        <v>904</v>
      </c>
      <c r="E16" s="6" t="s">
        <v>905</v>
      </c>
      <c r="F16" s="6" t="s">
        <v>906</v>
      </c>
    </row>
    <row r="17" spans="1:6" ht="48" customHeight="1">
      <c r="A17" s="3" t="s">
        <v>907</v>
      </c>
      <c r="B17" s="3" t="s">
        <v>908</v>
      </c>
      <c r="C17" s="3" t="s">
        <v>903</v>
      </c>
      <c r="D17" s="3" t="s">
        <v>909</v>
      </c>
      <c r="E17" s="3" t="s">
        <v>910</v>
      </c>
      <c r="F17" s="3" t="s">
        <v>803</v>
      </c>
    </row>
    <row r="18" spans="1:6" ht="48" customHeight="1">
      <c r="A18" s="6" t="s">
        <v>911</v>
      </c>
      <c r="B18" s="6" t="s">
        <v>912</v>
      </c>
      <c r="C18" s="6" t="s">
        <v>903</v>
      </c>
      <c r="D18" s="6" t="s">
        <v>913</v>
      </c>
      <c r="E18" s="6" t="s">
        <v>914</v>
      </c>
      <c r="F18" s="6" t="s">
        <v>915</v>
      </c>
    </row>
    <row r="19" spans="1:6" ht="48" customHeight="1">
      <c r="A19" s="3" t="s">
        <v>916</v>
      </c>
      <c r="B19" s="3" t="s">
        <v>917</v>
      </c>
      <c r="C19" s="3" t="s">
        <v>918</v>
      </c>
      <c r="D19" s="3" t="s">
        <v>919</v>
      </c>
      <c r="E19" s="3" t="s">
        <v>920</v>
      </c>
      <c r="F19" s="3" t="s">
        <v>430</v>
      </c>
    </row>
    <row r="20" spans="1:6" ht="48" customHeight="1">
      <c r="A20" s="6" t="s">
        <v>921</v>
      </c>
      <c r="B20" s="6" t="s">
        <v>922</v>
      </c>
      <c r="C20" s="6" t="s">
        <v>923</v>
      </c>
      <c r="D20" s="6" t="s">
        <v>924</v>
      </c>
      <c r="E20" s="6" t="s">
        <v>925</v>
      </c>
      <c r="F20" s="6" t="s">
        <v>926</v>
      </c>
    </row>
    <row r="21" spans="1:6" ht="48" customHeight="1">
      <c r="A21" s="3" t="s">
        <v>927</v>
      </c>
      <c r="B21" s="3" t="s">
        <v>928</v>
      </c>
      <c r="C21" s="3" t="s">
        <v>929</v>
      </c>
      <c r="D21" s="3" t="s">
        <v>930</v>
      </c>
      <c r="E21" s="3" t="s">
        <v>931</v>
      </c>
      <c r="F21" s="3" t="s">
        <v>932</v>
      </c>
    </row>
  </sheetData>
  <phoneticPr fontId="1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22D3C"/>
  </sheetPr>
  <dimension ref="A2:G17"/>
  <sheetViews>
    <sheetView showGridLines="0" workbookViewId="0">
      <pane xSplit="2" ySplit="4" topLeftCell="C12" activePane="bottomRight" state="frozen"/>
      <selection pane="topRight"/>
      <selection pane="bottomLeft"/>
      <selection pane="bottomRight" activeCell="E42" sqref="E42:E43"/>
    </sheetView>
  </sheetViews>
  <sheetFormatPr defaultColWidth="9" defaultRowHeight="14"/>
  <cols>
    <col min="1" max="1" width="30" customWidth="1"/>
    <col min="2" max="4" width="15" customWidth="1"/>
    <col min="5" max="5" width="18" customWidth="1"/>
    <col min="6" max="6" width="54" customWidth="1"/>
    <col min="7" max="7" width="71" customWidth="1"/>
  </cols>
  <sheetData>
    <row r="2" spans="1:7" ht="48" customHeight="1">
      <c r="A2" s="1" t="s">
        <v>933</v>
      </c>
    </row>
    <row r="3" spans="1:7" ht="48" customHeight="1">
      <c r="A3" t="s">
        <v>934</v>
      </c>
    </row>
    <row r="4" spans="1:7" ht="34" customHeight="1">
      <c r="A4" s="2" t="s">
        <v>935</v>
      </c>
      <c r="B4" s="2" t="s">
        <v>936</v>
      </c>
      <c r="C4" s="2" t="s">
        <v>937</v>
      </c>
      <c r="D4" s="2" t="s">
        <v>938</v>
      </c>
      <c r="E4" s="2" t="s">
        <v>939</v>
      </c>
      <c r="F4" s="2" t="s">
        <v>940</v>
      </c>
      <c r="G4" s="2" t="s">
        <v>941</v>
      </c>
    </row>
    <row r="5" spans="1:7" ht="48" customHeight="1">
      <c r="A5" s="3" t="s">
        <v>942</v>
      </c>
      <c r="B5" s="4">
        <v>10</v>
      </c>
      <c r="C5" s="4">
        <v>0.1</v>
      </c>
      <c r="D5" s="4">
        <v>0.2</v>
      </c>
      <c r="E5" s="5">
        <f>ROUNDDOWN(B5*C5*(1+D5),0)</f>
        <v>1</v>
      </c>
      <c r="F5" s="3" t="s">
        <v>943</v>
      </c>
      <c r="G5" s="3" t="s">
        <v>944</v>
      </c>
    </row>
    <row r="6" spans="1:7" ht="48" customHeight="1">
      <c r="A6" s="6" t="s">
        <v>945</v>
      </c>
      <c r="B6" s="4">
        <v>10</v>
      </c>
      <c r="C6" s="4">
        <v>1.2</v>
      </c>
      <c r="D6" s="4">
        <v>3</v>
      </c>
      <c r="E6" s="7">
        <f>B6*C6^D6</f>
        <v>17.28</v>
      </c>
      <c r="F6" s="6" t="s">
        <v>946</v>
      </c>
      <c r="G6" s="6" t="s">
        <v>947</v>
      </c>
    </row>
    <row r="7" spans="1:7" ht="48" customHeight="1">
      <c r="A7" s="3" t="s">
        <v>948</v>
      </c>
      <c r="B7" s="4">
        <v>10</v>
      </c>
      <c r="C7" s="4">
        <v>5</v>
      </c>
      <c r="D7" s="4">
        <v>12</v>
      </c>
      <c r="E7" s="5">
        <f>MIN(B7+C7,D7)</f>
        <v>12</v>
      </c>
      <c r="F7" s="3" t="s">
        <v>949</v>
      </c>
      <c r="G7" s="3" t="s">
        <v>950</v>
      </c>
    </row>
    <row r="8" spans="1:7" ht="48" customHeight="1">
      <c r="A8" s="6" t="s">
        <v>951</v>
      </c>
      <c r="B8" s="4">
        <v>11</v>
      </c>
      <c r="C8" s="4">
        <v>0.5</v>
      </c>
      <c r="D8" s="4">
        <v>2</v>
      </c>
      <c r="E8" s="7">
        <f>B8*C8*D8</f>
        <v>11</v>
      </c>
      <c r="F8" s="6" t="s">
        <v>952</v>
      </c>
      <c r="G8" s="6" t="s">
        <v>953</v>
      </c>
    </row>
    <row r="9" spans="1:7" ht="48" customHeight="1">
      <c r="A9" s="3" t="s">
        <v>954</v>
      </c>
      <c r="B9" s="4">
        <v>0.75</v>
      </c>
      <c r="C9" s="4">
        <v>0.1</v>
      </c>
      <c r="D9" s="4">
        <v>0.75</v>
      </c>
      <c r="E9" s="8">
        <f>MIN(B9+C9,D9)</f>
        <v>0.75</v>
      </c>
      <c r="F9" s="3" t="s">
        <v>955</v>
      </c>
      <c r="G9" s="3" t="s">
        <v>956</v>
      </c>
    </row>
    <row r="10" spans="1:7" ht="48" customHeight="1">
      <c r="A10" s="6" t="s">
        <v>957</v>
      </c>
      <c r="B10" s="4">
        <v>0.45</v>
      </c>
      <c r="C10" s="4">
        <v>0.1</v>
      </c>
      <c r="D10" s="4">
        <v>0.75</v>
      </c>
      <c r="E10" s="9">
        <f>MIN(B10+C10,D10)</f>
        <v>0.55000000000000004</v>
      </c>
      <c r="F10" s="6" t="s">
        <v>958</v>
      </c>
      <c r="G10" s="6" t="s">
        <v>959</v>
      </c>
    </row>
    <row r="11" spans="1:7" ht="48" customHeight="1">
      <c r="A11" s="3" t="s">
        <v>960</v>
      </c>
      <c r="B11" s="4">
        <v>0.25</v>
      </c>
      <c r="C11" s="4">
        <v>5</v>
      </c>
      <c r="D11" s="4">
        <v>0</v>
      </c>
      <c r="E11" s="8">
        <f>1-(1-B11)^C11</f>
        <v>0.7626953125</v>
      </c>
      <c r="F11" s="3" t="s">
        <v>961</v>
      </c>
      <c r="G11" s="3" t="s">
        <v>962</v>
      </c>
    </row>
    <row r="12" spans="1:7" ht="48" customHeight="1">
      <c r="A12" s="6" t="s">
        <v>963</v>
      </c>
      <c r="B12" s="4">
        <v>64</v>
      </c>
      <c r="C12" s="4">
        <v>1</v>
      </c>
      <c r="D12" s="4">
        <v>1.1499999999999999</v>
      </c>
      <c r="E12" s="7">
        <f>ROUNDDOWN(SQRT(B12)*C12*D12,0)</f>
        <v>9</v>
      </c>
      <c r="F12" s="6" t="s">
        <v>964</v>
      </c>
      <c r="G12" s="6" t="s">
        <v>965</v>
      </c>
    </row>
    <row r="13" spans="1:7" ht="48" customHeight="1">
      <c r="A13" s="3" t="s">
        <v>966</v>
      </c>
      <c r="B13" s="4">
        <v>0.95</v>
      </c>
      <c r="C13" s="4">
        <v>0.9</v>
      </c>
      <c r="D13" s="4">
        <v>1</v>
      </c>
      <c r="E13" s="5">
        <f>B13/C13</f>
        <v>1.05555555555556</v>
      </c>
      <c r="F13" s="3" t="s">
        <v>967</v>
      </c>
      <c r="G13" s="3" t="s">
        <v>968</v>
      </c>
    </row>
    <row r="14" spans="1:7" ht="48" customHeight="1">
      <c r="A14" s="6" t="s">
        <v>969</v>
      </c>
      <c r="B14" s="10">
        <f>'00_ATTRIBUTE_DICTIONARY (2)'!F33</f>
        <v>0.3</v>
      </c>
      <c r="C14" s="10">
        <f>'00_ATTRIBUTE_DICTIONARY (2)'!F34</f>
        <v>0.25</v>
      </c>
      <c r="D14" s="10" t="e">
        <f>'00_ATTRIBUTE_DICTIONARY (2)'!#REF!</f>
        <v>#REF!</v>
      </c>
      <c r="E14" s="7" t="e">
        <f>B14+C14*2+D14*'00_ATTRIBUTE_DICTIONARY (2)'!#REF!</f>
        <v>#REF!</v>
      </c>
      <c r="F14" s="6" t="s">
        <v>970</v>
      </c>
      <c r="G14" s="6" t="s">
        <v>971</v>
      </c>
    </row>
    <row r="15" spans="1:7" ht="48" customHeight="1">
      <c r="A15" s="3" t="s">
        <v>972</v>
      </c>
      <c r="B15" s="11"/>
      <c r="C15" s="11"/>
      <c r="D15" s="11"/>
      <c r="E15" s="5" t="e">
        <f>E14-'00_ATTRIBUTE_DICTIONARY (2)'!#REF!</f>
        <v>#REF!</v>
      </c>
      <c r="F15" s="3" t="s">
        <v>973</v>
      </c>
      <c r="G15" s="3" t="s">
        <v>974</v>
      </c>
    </row>
    <row r="16" spans="1:7" ht="48" customHeight="1">
      <c r="A16" s="6" t="s">
        <v>975</v>
      </c>
      <c r="B16" s="10">
        <f>'00_ATTRIBUTE_DICTIONARY (2)'!F32</f>
        <v>0.4</v>
      </c>
      <c r="C16" s="4">
        <v>0.2</v>
      </c>
      <c r="D16" s="4"/>
      <c r="E16" s="7" t="e">
        <f>E14+B16*C16</f>
        <v>#REF!</v>
      </c>
      <c r="F16" s="6" t="s">
        <v>976</v>
      </c>
      <c r="G16" s="6" t="s">
        <v>977</v>
      </c>
    </row>
    <row r="17" spans="1:7" ht="48" customHeight="1">
      <c r="A17" s="3" t="s">
        <v>978</v>
      </c>
      <c r="B17" s="11"/>
      <c r="C17" s="11"/>
      <c r="D17" s="11"/>
      <c r="E17" s="5">
        <f>SUM('00_ATTRIBUTE_DICTIONARY (2)'!F32:F34)</f>
        <v>0.95</v>
      </c>
      <c r="F17" s="3" t="s">
        <v>979</v>
      </c>
      <c r="G17" s="3" t="s">
        <v>980</v>
      </c>
    </row>
  </sheetData>
  <phoneticPr fontId="12" type="noConversion"/>
  <conditionalFormatting sqref="E15">
    <cfRule type="cellIs" dxfId="1" priority="1" operator="notEqual">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00_ATTRIBUTE_DICTIONARY (2)</vt:lpstr>
      <vt:lpstr>设计总表</vt:lpstr>
      <vt:lpstr>效果参数</vt:lpstr>
      <vt:lpstr>属性扩展</vt:lpstr>
      <vt:lpstr>分类与使用说明</vt:lpstr>
      <vt:lpstr>流程与规则</vt:lpstr>
      <vt:lpstr>平衡沙盘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徐一帆</dc:creator>
  <cp:lastModifiedBy>Holland Dawn</cp:lastModifiedBy>
  <dcterms:created xsi:type="dcterms:W3CDTF">2026-09-24T08:43:00Z</dcterms:created>
  <dcterms:modified xsi:type="dcterms:W3CDTF">2026-09-25T05:21:48Z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B0C75552E71D4B8F944FABC2C1FD19AA_12</vt:lpwstr>
  </property>
  <property fmtid="{D5CDD505-2E9C-101B-9397-08002B2CF9AE}" pid="3" name="KSOProductBuildVer">
    <vt:lpwstr>2052-12.1.0.28505</vt:lpwstr>
  </property>
  <property fmtid="{D5CDD505-2E9C-101B-9397-08002B2CF9AE}" pid="4" name="CalculationRule">
    <vt:i4>0</vt:i4>
  </property>
</Properties>
</file>