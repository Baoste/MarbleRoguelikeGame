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c02c75612647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ATTRIBUTE_DICTIONARY (2)" sheetId="4" r:id="Rc1500b7faa3e41a1"/>
    <x:sheet xmlns:r="http://schemas.openxmlformats.org/officeDocument/2006/relationships" name="设计总表" sheetId="5" r:id="R691dae1ba1a54bf1"/>
    <x:sheet xmlns:r="http://schemas.openxmlformats.org/officeDocument/2006/relationships" name="效果参数" sheetId="6" r:id="R98a626804d2e40b1"/>
    <x:sheet xmlns:r="http://schemas.openxmlformats.org/officeDocument/2006/relationships" name="属性扩展" sheetId="7" r:id="R73614f3a74604a73"/>
    <x:sheet xmlns:r="http://schemas.openxmlformats.org/officeDocument/2006/relationships" name="分类与使用说明" sheetId="8" r:id="Rdbb1785ccdba4450"/>
    <x:sheet xmlns:r="http://schemas.openxmlformats.org/officeDocument/2006/relationships" name="流程与规则" sheetId="9" r:id="Rcf93096986d446bc"/>
    <x:sheet xmlns:r="http://schemas.openxmlformats.org/officeDocument/2006/relationships" name="平衡沙盘" sheetId="10" r:id="R3d4ab88af7d948a4"/>
    <x:sheet xmlns:r="http://schemas.openxmlformats.org/officeDocument/2006/relationships" name="运行时平衡表" sheetId="11" r:id="R3558f73d4cae4217"/>
  </x:sheets>
</x:workbook>
</file>

<file path=xl/sharedStrings.xml><?xml version="1.0" encoding="utf-8"?>
<x:sst xmlns:x="http://schemas.openxmlformats.org/spreadsheetml/2006/main">
  <x:si>
    <x:t xml:space="preserve">《血色柏青哥》属性字典 / ATTRIBUTE SCHEMA</x:t>
  </x:si>
  <x:si>
    <x:t xml:space="preserve">唯一数据源：黄色为策划输入，蓝色为自动校验。三张内容表通过 Attribute_ID 与稀有度预算基线关联。</x:t>
  </x:si>
  <x:si>
    <x:t xml:space="preserve">属性数</x:t>
  </x:si>
  <x:si>
    <x:t xml:space="preserve">已废弃</x:t>
  </x:si>
  <x:si>
    <x:t xml:space="preserve">范围异常</x:t>
  </x:si>
  <x:si>
    <x:t xml:space="preserve">Rarity</x:t>
  </x:si>
  <x:si>
    <x:t xml:space="preserve">Power_Budget</x:t>
  </x:si>
  <x:si>
    <x:t xml:space="preserve">Attribute_ID</x:t>
  </x:si>
  <x:si>
    <x:t xml:space="preserve">Display_Name_CN</x:t>
  </x:si>
  <x:si>
    <x:t xml:space="preserve">Display_Name_EN</x:t>
  </x:si>
  <x:si>
    <x:t xml:space="preserve">Category</x:t>
  </x:si>
  <x:si>
    <x:t xml:space="preserve">Unit</x:t>
  </x:si>
  <x:si>
    <x:t xml:space="preserve">Default_Value</x:t>
  </x:si>
  <x:si>
    <x:t xml:space="preserve">Min_Value</x:t>
  </x:si>
  <x:si>
    <x:t xml:space="preserve">Max_Value</x:t>
  </x:si>
  <x:si>
    <x:t xml:space="preserve">Allowed_Operators</x:t>
  </x:si>
  <x:si>
    <x:t xml:space="preserve">Stack_Rule</x:t>
  </x:si>
  <x:si>
    <x:t xml:space="preserve">Applies_To</x:t>
  </x:si>
  <x:si>
    <x:t xml:space="preserve">Stack_Order</x:t>
  </x:si>
  <x:si>
    <x:t xml:space="preserve">Designer_Range</x:t>
  </x:si>
  <x:si>
    <x:t xml:space="preserve">Warning_Value</x:t>
  </x:si>
  <x:si>
    <x:t xml:space="preserve">Formula_or_Rule</x:t>
  </x:si>
  <x:si>
    <x:t xml:space="preserve">Debug_Name</x:t>
  </x:si>
  <x:si>
    <x:t xml:space="preserve">Deprecated</x:t>
  </x:si>
  <x:si>
    <x:t xml:space="preserve">Description</x:t>
  </x:si>
  <x:si>
    <x:t xml:space="preserve">Design_Note</x:t>
  </x:si>
  <x:si>
    <x:t xml:space="preserve">Data_Status</x:t>
  </x:si>
  <x:si>
    <x:t xml:space="preserve">Range_Check</x:t>
  </x:si>
  <x:si>
    <x:t xml:space="preserve">说明</x:t>
  </x:si>
  <x:si>
    <x:t xml:space="preserve">用于三张内容表的强度预算上限</x:t>
  </x:si>
  <x:si>
    <x:t xml:space="preserve">BLOOD_COST</x:t>
  </x:si>
  <x:si>
    <x:t xml:space="preserve">Blood Cost</x:t>
  </x:si>
  <x:si>
    <x:t xml:space="preserve">Economy</x:t>
  </x:si>
  <x:si>
    <x:t xml:space="preserve">0.5–8</x:t>
  </x:si>
  <x:si>
    <x:t xml:space="preserve">用于制造一颗/一批弹珠的血液本金</x:t>
  </x:si>
  <x:si>
    <x:t xml:space="preserve">blood_cost</x:t>
  </x:si>
  <x:si>
    <x:t xml:space="preserve">No</x:t>
  </x:si>
  <x:si>
    <x:t xml:space="preserve">降低会直接提高血液效率。</x:t>
  </x:si>
  <x:si>
    <x:t xml:space="preserve">与 Spawn_Count、Base_Value 联合评估。</x:t>
  </x:si>
  <x:si>
    <x:t xml:space="preserve">Approved</x:t>
  </x:si>
  <x:si>
    <x:t xml:space="preserve">Common</x:t>
  </x:si>
  <x:si>
    <x:t xml:space="preserve">BLOOD_DIVIDEND_RATE</x:t>
  </x:si>
  <x:si>
    <x:t xml:space="preserve">Blood Dividend Rate</x:t>
  </x:si>
  <x:si>
    <x:t xml:space="preserve">0.8–1.5</x:t>
  </x:si>
  <x:si>
    <x:t xml:space="preserve">Cash Out 时剩余血液兑换金币的倍率</x:t>
  </x:si>
  <x:si>
    <x:t xml:space="preserve">blood_dividend_rate</x:t>
  </x:si>
  <x:si>
    <x:t xml:space="preserve">影响稳健提现流的经济收益。</x:t>
  </x:si>
  <x:si>
    <x:t xml:space="preserve">不应压过越级收益。</x:t>
  </x:si>
  <x:si>
    <x:t xml:space="preserve">Testing</x:t>
  </x:si>
  <x:si>
    <x:t xml:space="preserve">Uncommon</x:t>
  </x:si>
  <x:si>
    <x:t xml:space="preserve">BALL_SPAWN_COUNT</x:t>
  </x:si>
  <x:si>
    <x:t xml:space="preserve">Ball Spawn Count</x:t>
  </x:si>
  <x:si>
    <x:t xml:space="preserve">Blood</x:t>
  </x:si>
  <x:si>
    <x:t xml:space="preserve">1–12</x:t>
  </x:si>
  <x:si>
    <x:t xml:space="preserve">一次发射批次生成的弹珠数量，发射器可以一次迸发多个弹珠</x:t>
  </x:si>
  <x:si>
    <x:t xml:space="preserve">ball_spawn_count</x:t>
  </x:si>
  <x:si>
    <x:t xml:space="preserve">高频触发构筑的核心参数。</x:t>
  </x:si>
  <x:si>
    <x:t xml:space="preserve">必须纳入血液效率。</x:t>
  </x:si>
  <x:si>
    <x:t xml:space="preserve">Legendary</x:t>
  </x:si>
  <x:si>
    <x:t xml:space="preserve">BALL_BASE_VALUE</x:t>
  </x:si>
  <x:si>
    <x:t xml:space="preserve">Ball Base Value</x:t>
  </x:si>
  <x:si>
    <x:t xml:space="preserve">Score</x:t>
  </x:si>
  <x:si>
    <x:t xml:space="preserve">4–120</x:t>
  </x:si>
  <x:si>
    <x:t xml:space="preserve">Final Score 第一层：Ball Value</x:t>
  </x:si>
  <x:si>
    <x:t xml:space="preserve">ball_base_value</x:t>
  </x:si>
  <x:si>
    <x:t xml:space="preserve">单球未经过机器与全局倍率前的分值。</x:t>
  </x:si>
  <x:si>
    <x:t xml:space="preserve">避免新增独立乘区。</x:t>
  </x:si>
  <x:si>
    <x:t xml:space="preserve">BALL_GAMBLE_VALUE_MOD</x:t>
  </x:si>
  <x:si>
    <x:t xml:space="preserve">Ball Gamble Value Modifier</x:t>
  </x:si>
  <x:si>
    <x:t xml:space="preserve">Gamble</x:t>
  </x:si>
  <x:si>
    <x:t xml:space="preserve">0.5–1.8</x:t>
  </x:si>
  <x:si>
    <x:t xml:space="preserve">弹珠进入 Gamble Pot 时的价值倍率</x:t>
  </x:si>
  <x:si>
    <x:t xml:space="preserve">ball_gamble_value_mod</x:t>
  </x:si>
  <x:si>
    <x:t xml:space="preserve">只改变赌注价值，不改变基础概率。</x:t>
  </x:si>
  <x:si>
    <x:t xml:space="preserve">与 GAMBLE_BASE_EV 分开。</x:t>
  </x:si>
  <x:si>
    <x:t xml:space="preserve">BALL_RUSH_GAIN</x:t>
  </x:si>
  <x:si>
    <x:t xml:space="preserve">Ball Rush Gain</x:t>
  </x:si>
  <x:si>
    <x:t xml:space="preserve">RUSH</x:t>
  </x:si>
  <x:si>
    <x:t xml:space="preserve">0–8</x:t>
  </x:si>
  <x:si>
    <x:t xml:space="preserve">每颗弹珠对 RUSH 槽的基础贡献</x:t>
  </x:si>
  <x:si>
    <x:t xml:space="preserve">ball_rush_gain</x:t>
  </x:si>
  <x:si>
    <x:t xml:space="preserve">多球流会放大该属性。</x:t>
  </x:si>
  <x:si>
    <x:t xml:space="preserve">结合触发频率评估。</x:t>
  </x:si>
  <x:si>
    <x:t xml:space="preserve">BALL_RADIUS</x:t>
  </x:si>
  <x:si>
    <x:t xml:space="preserve">Ball Radius</x:t>
  </x:si>
  <x:si>
    <x:t xml:space="preserve">BallPhysics</x:t>
  </x:si>
  <x:si>
    <x:t xml:space="preserve">0.3–1.0</x:t>
  </x:si>
  <x:si>
    <x:t xml:space="preserve">物理碰撞半径</x:t>
  </x:si>
  <x:si>
    <x:t xml:space="preserve">ball_radius</x:t>
  </x:si>
  <x:si>
    <x:t xml:space="preserve">会改变路线可达性与卡槽风险。</x:t>
  </x:si>
  <x:si>
    <x:t xml:space="preserve">需在原型场景实测。</x:t>
  </x:si>
  <x:si>
    <x:t xml:space="preserve">BALL_MASS</x:t>
  </x:si>
  <x:si>
    <x:t xml:space="preserve">Ball Mass</x:t>
  </x:si>
  <x:si>
    <x:t xml:space="preserve">0.5–4.0</x:t>
  </x:si>
  <x:si>
    <x:t xml:space="preserve">刚体质量</x:t>
  </x:si>
  <x:si>
    <x:t xml:space="preserve">ball_mass</x:t>
  </x:si>
  <x:si>
    <x:t xml:space="preserve">影响碰撞与加速反应。</x:t>
  </x:si>
  <x:si>
    <x:t xml:space="preserve">Unity/Godot 单位需统一。</x:t>
  </x:si>
  <x:si>
    <x:t xml:space="preserve">BALL_BOUNCE</x:t>
  </x:si>
  <x:si>
    <x:t xml:space="preserve">Ball Bounce</x:t>
  </x:si>
  <x:si>
    <x:t xml:space="preserve">0.2–1.2</x:t>
  </x:si>
  <x:si>
    <x:t xml:space="preserve">碰撞后的速度保留与反弹程度</x:t>
  </x:si>
  <x:si>
    <x:t xml:space="preserve">ball_bounce</x:t>
  </x:si>
  <x:si>
    <x:t xml:space="preserve">过高可能导致无限弹跳。</x:t>
  </x:si>
  <x:si>
    <x:t xml:space="preserve">与最大速度联合限制。</x:t>
  </x:si>
  <x:si>
    <x:t xml:space="preserve">BALL_FRICTION</x:t>
  </x:si>
  <x:si>
    <x:t xml:space="preserve">Ball Friction</x:t>
  </x:si>
  <x:si>
    <x:t xml:space="preserve">0.05–0.8</x:t>
  </x:si>
  <x:si>
    <x:t xml:space="preserve">接触面速度衰减</x:t>
  </x:si>
  <x:si>
    <x:t xml:space="preserve">ball_friction</x:t>
  </x:si>
  <x:si>
    <x:t xml:space="preserve">过低会增加失控与长尾结算。</x:t>
  </x:si>
  <x:si>
    <x:t xml:space="preserve">检查回合清场时间。</x:t>
  </x:si>
  <x:si>
    <x:t xml:space="preserve">BALL_GRAVITY_MOD</x:t>
  </x:si>
  <x:si>
    <x:t xml:space="preserve">Ball Gravity Modifier</x:t>
  </x:si>
  <x:si>
    <x:t xml:space="preserve">弹珠承受的重力倍率</x:t>
  </x:si>
  <x:si>
    <x:t xml:space="preserve">ball_gravity_mod</x:t>
  </x:si>
  <x:si>
    <x:t xml:space="preserve">改变下落时间与路线。</x:t>
  </x:si>
  <x:si>
    <x:t xml:space="preserve">避免 0 重力导致不结算。</x:t>
  </x:si>
  <x:si>
    <x:t xml:space="preserve">BALL_LAUNCH_SPEED</x:t>
  </x:si>
  <x:si>
    <x:t xml:space="preserve">Ball Launch Speed</x:t>
  </x:si>
  <x:si>
    <x:t xml:space="preserve">0.7–1.8</x:t>
  </x:si>
  <x:si>
    <x:t xml:space="preserve">初始发射速度倍率</x:t>
  </x:si>
  <x:si>
    <x:t xml:space="preserve">ball_launch_speed</x:t>
  </x:si>
  <x:si>
    <x:t xml:space="preserve">影响路线、命中率与速度计分。</x:t>
  </x:si>
  <x:si>
    <x:t xml:space="preserve">与 Max Speed 分开。</x:t>
  </x:si>
  <x:si>
    <x:t xml:space="preserve">BALL_MAX_SPEED</x:t>
  </x:si>
  <x:si>
    <x:t xml:space="preserve">Ball Max Speed</x:t>
  </x:si>
  <x:si>
    <x:t xml:space="preserve">8–30</x:t>
  </x:si>
  <x:si>
    <x:t xml:space="preserve">物理速度上限</x:t>
  </x:si>
  <x:si>
    <x:t xml:space="preserve">ball_max_speed</x:t>
  </x:si>
  <x:si>
    <x:t xml:space="preserve">用于限制高弹与加速连锁。</x:t>
  </x:si>
  <x:si>
    <x:t xml:space="preserve">高帧率下也需验证。</x:t>
  </x:si>
  <x:si>
    <x:t xml:space="preserve">BALL_MAGNET_RESPONSE</x:t>
  </x:si>
  <x:si>
    <x:t xml:space="preserve">Ball Magnet Response</x:t>
  </x:si>
  <x:si>
    <x:t xml:space="preserve">0–3</x:t>
  </x:si>
  <x:si>
    <x:t xml:space="preserve">受到磁性装置影响的倍率</x:t>
  </x:si>
  <x:si>
    <x:t xml:space="preserve">ball_magnet_response</x:t>
  </x:si>
  <x:si>
    <x:t xml:space="preserve">0 表示免疫磁力。</x:t>
  </x:si>
  <x:si>
    <x:t xml:space="preserve">检查吸附死锁。</x:t>
  </x:si>
  <x:si>
    <x:t xml:space="preserve">Concept</x:t>
  </x:si>
  <x:si>
    <x:t xml:space="preserve">BALL_LIFETIME</x:t>
  </x:si>
  <x:si>
    <x:t xml:space="preserve">Ball Lifetime</x:t>
  </x:si>
  <x:si>
    <x:t xml:space="preserve">10–60</x:t>
  </x:si>
  <x:si>
    <x:t xml:space="preserve">弹珠被强制清除前的存活时间</x:t>
  </x:si>
  <x:si>
    <x:t xml:space="preserve">ball_lifetime</x:t>
  </x:si>
  <x:si>
    <x:t xml:space="preserve">限制无法结算的异常路径。</x:t>
  </x:si>
  <x:si>
    <x:t xml:space="preserve">不要用来掩盖关卡卡死。</x:t>
  </x:si>
  <x:si>
    <x:t xml:space="preserve">BALL_SPLIT_COUNT</x:t>
  </x:si>
  <x:si>
    <x:t xml:space="preserve">Ball Split Count</x:t>
  </x:si>
  <x:si>
    <x:t xml:space="preserve">0–4</x:t>
  </x:si>
  <x:si>
    <x:t xml:space="preserve">触发分裂时生成的子球数量</x:t>
  </x:si>
  <x:si>
    <x:t xml:space="preserve">ball_split_count</x:t>
  </x:si>
  <x:si>
    <x:t xml:space="preserve">必须与克隆价值保留率联算。</x:t>
  </x:si>
  <x:si>
    <x:t xml:space="preserve">关注指数增长。</x:t>
  </x:si>
  <x:si>
    <x:t xml:space="preserve">BALL_CLONE_VALUE_RETENTION</x:t>
  </x:si>
  <x:si>
    <x:t xml:space="preserve">Clone Value Retention</x:t>
  </x:si>
  <x:si>
    <x:t xml:space="preserve">30%–80%</x:t>
  </x:si>
  <x:si>
    <x:t xml:space="preserve">子球继承母球价值的比例</x:t>
  </x:si>
  <x:si>
    <x:t xml:space="preserve">ball_clone_value_retention</x:t>
  </x:si>
  <x:si>
    <x:t xml:space="preserve">与 Split_Count 共同决定总价值。</x:t>
  </x:si>
  <x:si>
    <x:t xml:space="preserve">上限应低于 100%。</x:t>
  </x:si>
  <x:si>
    <x:t xml:space="preserve">BALL_PIERCE_COUNT</x:t>
  </x:si>
  <x:si>
    <x:t xml:space="preserve">Ball Pierce Count</x:t>
  </x:si>
  <x:si>
    <x:t xml:space="preserve">无视阻挡或连续触发的次数</x:t>
  </x:si>
  <x:si>
    <x:t xml:space="preserve">ball_pierce_count</x:t>
  </x:si>
  <x:si>
    <x:t xml:space="preserve">可能绕过装置冷却。</x:t>
  </x:si>
  <x:si>
    <x:t xml:space="preserve">需定义可穿透对象集合。</x:t>
  </x:si>
  <x:si>
    <x:t xml:space="preserve">MACHINE_MULT</x:t>
  </x:si>
  <x:si>
    <x:t xml:space="preserve">Machine Multiplier</x:t>
  </x:si>
  <x:si>
    <x:t xml:space="preserve">1.0–5.0</x:t>
  </x:si>
  <x:si>
    <x:t xml:space="preserve">Final Score 第二层：Machine Mult</x:t>
  </x:si>
  <x:si>
    <x:t xml:space="preserve">machine_mult</x:t>
  </x:si>
  <x:si>
    <x:t xml:space="preserve">应由物理路线与装置形成。</x:t>
  </x:si>
  <x:si>
    <x:t xml:space="preserve">避免把所有装置都做成倍率。</x:t>
  </x:si>
  <x:si>
    <x:t xml:space="preserve">GLOBAL_MULT</x:t>
  </x:si>
  <x:si>
    <x:t xml:space="preserve">Global Multiplier</x:t>
  </x:si>
  <x:si>
    <x:t xml:space="preserve">1.0–3.0</x:t>
  </x:si>
  <x:si>
    <x:t xml:space="preserve">Final Score 第三层：Global State</x:t>
  </x:si>
  <x:si>
    <x:t xml:space="preserve">global_mult</x:t>
  </x:si>
  <x:si>
    <x:t xml:space="preserve">主要由 RUSH 或特殊状态提供。</x:t>
  </x:si>
  <x:si>
    <x:t xml:space="preserve">严格限制独立乘区数量。</x:t>
  </x:si>
  <x:si>
    <x:t xml:space="preserve">SCORE_BY_SPEED</x:t>
  </x:si>
  <x:si>
    <x:t xml:space="preserve">Score by Speed</x:t>
  </x:si>
  <x:si>
    <x:t xml:space="preserve">0%–40%</x:t>
  </x:si>
  <x:si>
    <x:t xml:space="preserve">按速度区间对 Ball Value 追加加成</x:t>
  </x:si>
  <x:si>
    <x:t xml:space="preserve">score_by_speed</x:t>
  </x:si>
  <x:si>
    <x:t xml:space="preserve">鼓励高速路线与精准发射。</x:t>
  </x:si>
  <x:si>
    <x:t xml:space="preserve">明确速度采样时点。</x:t>
  </x:si>
  <x:si>
    <x:t xml:space="preserve">SCORE_OVERKILL_RATE</x:t>
  </x:si>
  <x:si>
    <x:t xml:space="preserve">Overkill Conversion Rate</x:t>
  </x:si>
  <x:si>
    <x:t xml:space="preserve">0.5–2.0</x:t>
  </x:si>
  <x:si>
    <x:t xml:space="preserve">Overkill Score 转化为奖励的倍率</x:t>
  </x:si>
  <x:si>
    <x:t xml:space="preserve">score_overkill_rate</x:t>
  </x:si>
  <x:si>
    <x:t xml:space="preserve">增强继续下注的回报。</x:t>
  </x:si>
  <x:si>
    <x:t xml:space="preserve">不能消除 Cash Out 风险。</x:t>
  </x:si>
  <x:si>
    <x:t xml:space="preserve">RUSH_DURATION</x:t>
  </x:si>
  <x:si>
    <x:t xml:space="preserve">Rush Duration</x:t>
  </x:si>
  <x:si>
    <x:t xml:space="preserve">6–30</x:t>
  </x:si>
  <x:si>
    <x:t xml:space="preserve">一次 RUSH 的基础持续时间</x:t>
  </x:si>
  <x:si>
    <x:t xml:space="preserve">rush_duration</x:t>
  </x:si>
  <x:si>
    <x:t xml:space="preserve">影响爆发窗口与输入节奏。</x:t>
  </x:si>
  <x:si>
    <x:t xml:space="preserve">接近永久 RUSH 时预警。</x:t>
  </x:si>
  <x:si>
    <x:t xml:space="preserve">RUSH_MULT</x:t>
  </x:si>
  <x:si>
    <x:t xml:space="preserve">Rush Multiplier</x:t>
  </x:si>
  <x:si>
    <x:t xml:space="preserve">1.5–4.0</x:t>
  </x:si>
  <x:si>
    <x:t xml:space="preserve">RUSH 状态下的 Global Mult</x:t>
  </x:si>
  <x:si>
    <x:t xml:space="preserve">rush_mult</x:t>
  </x:si>
  <x:si>
    <x:t xml:space="preserve">主要情绪高潮倍率。</x:t>
  </x:si>
  <x:si>
    <x:t xml:space="preserve">不要与其他全局倍率无限相乘。</x:t>
  </x:si>
  <x:si>
    <x:t xml:space="preserve">RUSH_DECAY</x:t>
  </x:si>
  <x:si>
    <x:t xml:space="preserve">Rush Decay</x:t>
  </x:si>
  <x:si>
    <x:t xml:space="preserve">RUSH 槽或持续时间的衰减速率</x:t>
  </x:si>
  <x:si>
    <x:t xml:space="preserve">rush_decay</x:t>
  </x:si>
  <x:si>
    <x:t xml:space="preserve">降低衰减等价于延长爆发。</x:t>
  </x:si>
  <x:si>
    <x:t xml:space="preserve">与 Duration 合并评估。</x:t>
  </x:si>
  <x:si>
    <x:t xml:space="preserve">GAMBLE_LOSS_CHANCE</x:t>
  </x:si>
  <x:si>
    <x:t xml:space="preserve">Gamble Loss Chance</x:t>
  </x:si>
  <x:si>
    <x:t xml:space="preserve">20%–60%</x:t>
  </x:si>
  <x:si>
    <x:t xml:space="preserve">最终赌博结果为 ×0 的概率</x:t>
  </x:si>
  <x:si>
    <x:t xml:space="preserve">gamble_loss_chance</x:t>
  </x:si>
  <x:si>
    <x:t xml:space="preserve">需与其他结果概率合计为 100%。</x:t>
  </x:si>
  <x:si>
    <x:t xml:space="preserve">由独立概率校验负责总和。</x:t>
  </x:si>
  <x:si>
    <x:t xml:space="preserve">GAMBLE_RETURN_CHANCE</x:t>
  </x:si>
  <x:si>
    <x:t xml:space="preserve">Gamble Return Chance</x:t>
  </x:si>
  <x:si>
    <x:t xml:space="preserve">10%–50%</x:t>
  </x:si>
  <x:si>
    <x:t xml:space="preserve">最终赌博结果为 ×1 的概率</x:t>
  </x:si>
  <x:si>
    <x:t xml:space="preserve">gamble_return_chance</x:t>
  </x:si>
  <x:si>
    <x:t xml:space="preserve">稳定赌博池波动。</x:t>
  </x:si>
  <x:si>
    <x:t xml:space="preserve">概率表在后续专表细化。</x:t>
  </x:si>
  <x:si>
    <x:t xml:space="preserve">GAMBLE_WIN_CHANCE</x:t>
  </x:si>
  <x:si>
    <x:t xml:space="preserve">Gamble Win Chance</x:t>
  </x:si>
  <x:si>
    <x:t xml:space="preserve">10%–45%</x:t>
  </x:si>
  <x:si>
    <x:t xml:space="preserve">最终赌博结果为 ×2 的概率</x:t>
  </x:si>
  <x:si>
    <x:t xml:space="preserve">gamble_win_chance</x:t>
  </x:si>
  <x:si>
    <x:t xml:space="preserve">提供主要翻盘区间。</x:t>
  </x:si>
  <x:si>
    <x:t xml:space="preserve">与 Jackpot 分开。</x:t>
  </x:si>
  <x:si>
    <x:t xml:space="preserve">GAMBLE_POT_VALUE</x:t>
  </x:si>
  <x:si>
    <x:t xml:space="preserve">Gamble Pot Value</x:t>
  </x:si>
  <x:si>
    <x:t xml:space="preserve">进入 Receiver 的总价值修正</x:t>
  </x:si>
  <x:si>
    <x:t xml:space="preserve">gamble_pot_value</x:t>
  </x:si>
  <x:si>
    <x:t xml:space="preserve">改变赌注规模，不改变概率。</x:t>
  </x:si>
  <x:si>
    <x:t xml:space="preserve">与 Ball 修正按一次乘区处理。</x:t>
  </x:si>
  <x:si>
    <x:t xml:space="preserve">DEVICE_TRIGGER_RATE</x:t>
  </x:si>
  <x:si>
    <x:t xml:space="preserve">Device Trigger Rate</x:t>
  </x:si>
  <x:si>
    <x:t xml:space="preserve">Device</x:t>
  </x:si>
  <x:si>
    <x:t xml:space="preserve">机关可触发判定的频率修正</x:t>
  </x:si>
  <x:si>
    <x:t xml:space="preserve">device_trigger_rate</x:t>
  </x:si>
  <x:si>
    <x:t xml:space="preserve">多球流会放大总触发数。</x:t>
  </x:si>
  <x:si>
    <x:t xml:space="preserve">必须结合 Cooldown。</x:t>
  </x:si>
  <x:si>
    <x:t xml:space="preserve">DEVICE_COOLDOWN</x:t>
  </x:si>
  <x:si>
    <x:t xml:space="preserve">Device Cooldown</x:t>
  </x:si>
  <x:si>
    <x:t xml:space="preserve">0.1–5.0</x:t>
  </x:si>
  <x:si>
    <x:t xml:space="preserve">机关两次有效触发之间的时间</x:t>
  </x:si>
  <x:si>
    <x:t xml:space="preserve">device_cooldown</x:t>
  </x:si>
  <x:si>
    <x:t xml:space="preserve">接近 0 会造成触发风暴。</x:t>
  </x:si>
  <x:si>
    <x:t xml:space="preserve">设置最低安全值。</x:t>
  </x:si>
  <x:si>
    <x:t xml:space="preserve">SHOP_PRICE_MOD</x:t>
  </x:si>
  <x:si>
    <x:t xml:space="preserve">Shop Price Modifier</x:t>
  </x:si>
  <x:si>
    <x:t xml:space="preserve">0.7–1.3</x:t>
  </x:si>
  <x:si>
    <x:t xml:space="preserve">所有商店售价的全局倍率</x:t>
  </x:si>
  <x:si>
    <x:t xml:space="preserve">shop_price_mod</x:t>
  </x:si>
  <x:si>
    <x:t xml:space="preserve">强经济属性，会滚雪球。</x:t>
  </x:si>
  <x:si>
    <x:t xml:space="preserve">谨慎提供永久折扣。</x:t>
  </x:si>
  <x:si>
    <x:t xml:space="preserve">COIN_GAIN_RATE</x:t>
  </x:si>
  <x:si>
    <x:t xml:space="preserve">Coin Gain Rate</x:t>
  </x:si>
  <x:si>
    <x:t xml:space="preserve">0.8–1.8</x:t>
  </x:si>
  <x:si>
    <x:t xml:space="preserve">奖励金币的全局倍率</x:t>
  </x:si>
  <x:si>
    <x:t xml:space="preserve">coin_gain_rate</x:t>
  </x:si>
  <x:si>
    <x:t xml:space="preserve">影响后续商店购买力。</x:t>
  </x:si>
  <x:si>
    <x:t xml:space="preserve">与即时强度分开评估。</x:t>
  </x:si>
  <x:si>
    <x:t xml:space="preserve">设计总表</x:t>
  </x:si>
  <x:si>
    <x:t xml:space="preserve">设计ID</x:t>
  </x:si>
  <x:si>
    <x:t xml:space="preserve">规范名称</x:t>
  </x:si>
  <x:si>
    <x:t xml:space="preserve">大类</x:t>
  </x:si>
  <x:si>
    <x:t xml:space="preserve">子类</x:t>
  </x:si>
  <x:si>
    <x:t xml:space="preserve">内容来源</x:t>
  </x:si>
  <x:si>
    <x:t xml:space="preserve">原表定位</x:t>
  </x:si>
  <x:si>
    <x:t xml:space="preserve">原始构思（原文保留）</x:t>
  </x:si>
  <x:si>
    <x:t xml:space="preserve">触发事件</x:t>
  </x:si>
  <x:si>
    <x:t xml:space="preserve">作用目标</x:t>
  </x:si>
  <x:si>
    <x:t xml:space="preserve">持续口径</x:t>
  </x:si>
  <x:si>
    <x:t xml:space="preserve">终止条件</x:t>
  </x:si>
  <x:si>
    <x:t xml:space="preserve">叠加与次数规则</x:t>
  </x:si>
  <x:si>
    <x:t xml:space="preserve">建议稀有度</x:t>
  </x:si>
  <x:si>
    <x:t xml:space="preserve">代价或负面效果</x:t>
  </x:si>
  <x:si>
    <x:t xml:space="preserve">平衡备注</x:t>
  </x:si>
  <x:si>
    <x:t xml:space="preserve">实现备注</x:t>
  </x:si>
  <x:si>
    <x:t xml:space="preserve">开发优先级</x:t>
  </x:si>
  <x:si>
    <x:t xml:space="preserve">状态</x:t>
  </x:si>
  <x:si>
    <x:t xml:space="preserve">D001</x:t>
  </x:si>
  <x:si>
    <x:t xml:space="preserve">银行</x:t>
  </x:si>
  <x:si>
    <x:t xml:space="preserve">装置</x:t>
  </x:si>
  <x:si>
    <x:t xml:space="preserve">经济出口</x:t>
  </x:si>
  <x:si>
    <x:t xml:space="preserve">原构思规范化</x:t>
  </x:si>
  <x:si>
    <x:t xml:space="preserve">Sheet2!2</x:t>
  </x:si>
  <x:si>
    <x:t xml:space="preserve">银行；经济；弹珠进入转换为金币；金币数=取整{（价值++）*（本金1+利率20%）}</x:t>
  </x:si>
  <x:si>
    <x:t xml:space="preserve">球进入银行入口</x:t>
  </x:si>
  <x:si>
    <x:t xml:space="preserve">当前球</x:t>
  </x:si>
  <x:si>
    <x:t xml:space="preserve">即时</x:t>
  </x:si>
  <x:si>
    <x:t xml:space="preserve">入账后销毁球</x:t>
  </x:si>
  <x:si>
    <x:t xml:space="preserve">每球仅结算一次</x:t>
  </x:si>
  <x:si>
    <x:t xml:space="preserve">Rare</x:t>
  </x:si>
  <x:si>
    <x:t xml:space="preserve">牺牲该球得分和赌博机会</x:t>
  </x:si>
  <x:si>
    <x:t xml:space="preserve">兑换系数建议0.10；保留原20%利率，避免价值直接等额兑换导致经济膨胀</x:t>
  </x:si>
  <x:si>
    <x:t xml:space="preserve">事务化标记已结算；金币奖励不再受COIN_GAIN_RATE二次放大</x:t>
  </x:si>
  <x:si>
    <x:t xml:space="preserve">P0</x:t>
  </x:si>
  <x:si>
    <x:t xml:space="preserve">待测试</x:t>
  </x:si>
  <x:si>
    <x:t xml:space="preserve">D002</x:t>
  </x:si>
  <x:si>
    <x:t xml:space="preserve">增幅塔</x:t>
  </x:si>
  <x:si>
    <x:t xml:space="preserve">价值路线</x:t>
  </x:si>
  <x:si>
    <x:t xml:space="preserve">Sheet2!3</x:t>
  </x:si>
  <x:si>
    <x:t xml:space="preserve">增幅塔；价值；范围内存在20cm的增幅塔时相连通电，弹珠经过连线时价值提升；弹珠提升价值=价值*n经过次数</x:t>
  </x:si>
  <x:si>
    <x:t xml:space="preserve">球穿越有效连线</x:t>
  </x:si>
  <x:si>
    <x:t xml:space="preserve">球生命周期</x:t>
  </x:si>
  <x:si>
    <x:t xml:space="preserve">球结算或消失</x:t>
  </x:si>
  <x:si>
    <x:t xml:space="preserve">无限次</x:t>
  </x:si>
  <x:si>
    <x:t xml:space="preserve">占用至少两个布置位置</x:t>
  </x:si>
  <x:si>
    <x:t xml:space="preserve">原n未定义；用独立次数上限控制传送回流复利</x:t>
  </x:si>
  <x:si>
    <x:t xml:space="preserve">无向塔对ID去重；从线一侧穿到另一侧才触发</x:t>
  </x:si>
  <x:si>
    <x:t xml:space="preserve">D003</x:t>
  </x:si>
  <x:si>
    <x:t xml:space="preserve">离心机</x:t>
  </x:si>
  <x:si>
    <x:t xml:space="preserve">速度路线</x:t>
  </x:si>
  <x:si>
    <x:t xml:space="preserve">Sheet2!4</x:t>
  </x:si>
  <x:si>
    <x:t xml:space="preserve">离心机；物理；弹珠进入后加速从正下方射出；弹珠速度+5</x:t>
  </x:si>
  <x:si>
    <x:t xml:space="preserve">球进入且装置冷却完毕</x:t>
  </x:si>
  <x:si>
    <x:t xml:space="preserve">输出完成</x:t>
  </x:si>
  <x:si>
    <x:t xml:space="preserve">同一装置每球最多2次</x:t>
  </x:si>
  <x:si>
    <x:t xml:space="preserve">方向固定，可能错过高价值路线</x:t>
  </x:si>
  <x:si>
    <x:t xml:space="preserve">出口脱离检测；速度夹紧到BALL_MAX_SPEED</x:t>
  </x:si>
  <x:si>
    <x:t xml:space="preserve">D004</x:t>
  </x:si>
  <x:si>
    <x:t xml:space="preserve">传送门</x:t>
  </x:si>
  <x:si>
    <x:t xml:space="preserve">路径控制</x:t>
  </x:si>
  <x:si>
    <x:t xml:space="preserve">Sheet2!5</x:t>
  </x:si>
  <x:si>
    <x:t xml:space="preserve">传送门；物理；每次购买为同色一对的传送门，弹珠在传送门间传送，A-&gt;B/B-&gt;A；位移（上传到下或下传到上）</x:t>
  </x:si>
  <x:si>
    <x:t xml:space="preserve">球进入已配对入口</x:t>
  </x:si>
  <x:si>
    <x:t xml:space="preserve">传送完成</x:t>
  </x:si>
  <x:si>
    <x:t xml:space="preserve">同一对每球最多2次</x:t>
  </x:si>
  <x:si>
    <x:t xml:space="preserve">两处占位，出口不保证命中收益口</x:t>
  </x:si>
  <x:si>
    <x:t xml:space="preserve">配对ID和出口安全偏移；未配对不可启用</x:t>
  </x:si>
  <x:si>
    <x:t xml:space="preserve">D005</x:t>
  </x:si>
  <x:si>
    <x:t xml:space="preserve">黑色四叶草</x:t>
  </x:si>
  <x:si>
    <x:t xml:space="preserve">RUSH概率</x:t>
  </x:si>
  <x:si>
    <x:t xml:space="preserve">Sheet2!6</x:t>
  </x:si>
  <x:si>
    <x:t xml:space="preserve">黑色四叶草；Rush；弹珠经过时，四叶草转动，提升其触发Rush的概率；Rush触发概率25%-&gt;75%</x:t>
  </x:si>
  <x:si>
    <x:t xml:space="preserve">穿过叶片感应区</x:t>
  </x:si>
  <x:si>
    <x:t xml:space="preserve">至该球首次有效得分结算</x:t>
  </x:si>
  <x:si>
    <x:t xml:space="preserve">检定后或球消失</x:t>
  </x:si>
  <x:si>
    <x:t xml:space="preserve">重复经过不叠加、不重复检定</x:t>
  </x:si>
  <x:si>
    <x:t xml:space="preserve">占位且只强化经过的球</x:t>
  </x:si>
  <x:si>
    <x:t xml:space="preserve">按球标记概率覆写，分裂子球共享一次家族检定</x:t>
  </x:si>
  <x:si>
    <x:t xml:space="preserve">P1</x:t>
  </x:si>
  <x:si>
    <x:t xml:space="preserve">D006</x:t>
  </x:si>
  <x:si>
    <x:t xml:space="preserve">分流器</x:t>
  </x:si>
  <x:si>
    <x:t xml:space="preserve">守恒分裂</x:t>
  </x:si>
  <x:si>
    <x:t xml:space="preserve">Sheet2!8</x:t>
  </x:si>
  <x:si>
    <x:t xml:space="preserve">分流器；物理+价值；将大弹珠分离成小弹珠。体积、价值对半分，两球分别从下方左右45度射出；体积V*1/2，价值*1/2，总价值不变（价值最小为1，价值为1的弹珠进入后不受影响，随机从下方左右45度射出）</x:t>
  </x:si>
  <x:si>
    <x:t xml:space="preserve">球进入分流器</x:t>
  </x:si>
  <x:si>
    <x:t xml:space="preserve">当前球及两个子球</x:t>
  </x:si>
  <x:si>
    <x:t xml:space="preserve">分裂完成，母球销毁</x:t>
  </x:si>
  <x:si>
    <x:t xml:space="preserve">同一家族最多分裂2代</x:t>
  </x:si>
  <x:si>
    <x:t xml:space="preserve">小球改变路线，不能复制触发次数</x:t>
  </x:si>
  <x:si>
    <x:t xml:space="preserve">按3D体积半分则半径×0.7937；2D物理需确认。子球继承已触发集合及原始寿命截止</x:t>
  </x:si>
  <x:si>
    <x:t xml:space="preserve">D007</x:t>
  </x:si>
  <x:si>
    <x:t xml:space="preserve">弹板</x:t>
  </x:si>
  <x:si>
    <x:t xml:space="preserve">改变轨迹</x:t>
  </x:si>
  <x:si>
    <x:t xml:space="preserve">球接触弹板</x:t>
  </x:si>
  <x:si>
    <x:t xml:space="preserve">弹走</x:t>
  </x:si>
  <x:si>
    <x:t xml:space="preserve">不限次数</x:t>
  </x:si>
  <x:si>
    <x:t xml:space="preserve">无</x:t>
  </x:si>
  <x:si>
    <x:t xml:space="preserve">D008</x:t>
  </x:si>
  <x:si>
    <x:t xml:space="preserve">增值透镜</x:t>
  </x:si>
  <x:si>
    <x:t xml:space="preserve">球穿过增值透镜</x:t>
  </x:si>
  <x:si>
    <x:t xml:space="preserve">增值完成</x:t>
  </x:si>
  <x:si>
    <x:t xml:space="preserve">Epic</x:t>
  </x:si>
  <x:si>
    <x:t xml:space="preserve">D009</x:t>
  </x:si>
  <x:si>
    <x:t xml:space="preserve">资本主义</x:t>
  </x:si>
  <x:si>
    <x:t xml:space="preserve">球穿过</x:t>
  </x:si>
  <x:si>
    <x:t xml:space="preserve">处理完成</x:t>
  </x:si>
  <x:si>
    <x:t xml:space="preserve">价值&lt;6被销毁</x:t>
  </x:si>
  <x:si>
    <x:t xml:space="preserve">血穿炮</x:t>
  </x:si>
  <x:si>
    <x:t xml:space="preserve">存入价值满10的血珠</x:t>
  </x:si>
  <x:si>
    <x:t xml:space="preserve">X线上的圆钉</x:t>
  </x:si>
  <x:si>
    <x:t xml:space="preserve">技能使用后</x:t>
  </x:si>
  <x:si>
    <x:t xml:space="preserve">触发后装置销毁</x:t>
  </x:si>
  <x:si>
    <x:t xml:space="preserve">D0010</x:t>
  </x:si>
  <x:si>
    <x:t xml:space="preserve">减速带</x:t>
  </x:si>
  <x:si>
    <x:t xml:space="preserve">物理路线</x:t>
  </x:si>
  <x:si>
    <x:t xml:space="preserve">球经过</x:t>
  </x:si>
  <x:si>
    <x:t xml:space="preserve">减速后</x:t>
  </x:si>
  <x:si>
    <x:t xml:space="preserve">D0011</x:t>
  </x:si>
  <x:si>
    <x:t xml:space="preserve">复活吧我的爱人</x:t>
  </x:si>
  <x:si>
    <x:t xml:space="preserve">复活</x:t>
  </x:si>
  <x:si>
    <x:t xml:space="preserve">复活后</x:t>
  </x:si>
  <x:si>
    <x:t xml:space="preserve">同一装置每球最多1次</x:t>
  </x:si>
  <x:si>
    <x:t xml:space="preserve">D0012</x:t>
  </x:si>
  <x:si>
    <x:t xml:space="preserve">磁磁磁</x:t>
  </x:si>
  <x:si>
    <x:t xml:space="preserve">磁弹珠经过</x:t>
  </x:si>
  <x:si>
    <x:t xml:space="preserve">磁弹珠离开</x:t>
  </x:si>
  <x:si>
    <x:t xml:space="preserve">M001</x:t>
  </x:si>
  <x:si>
    <x:t xml:space="preserve">肾上腺素</x:t>
  </x:si>
  <x:si>
    <x:t xml:space="preserve">药物</x:t>
  </x:si>
  <x:si>
    <x:t xml:space="preserve">原构思补全</x:t>
  </x:si>
  <x:si>
    <x:t xml:space="preserve">Sheet1!2</x:t>
  </x:si>
  <x:si>
    <x:t xml:space="preserve">肾上腺素；Rush；在效果时间内发射的弹珠，；10</x:t>
  </x:si>
  <x:si>
    <x:t xml:space="preserve">服用后发射</x:t>
  </x:si>
  <x:si>
    <x:t xml:space="preserve">窗口内新生成球</x:t>
  </x:si>
  <x:si>
    <x:t xml:space="preserve">窗口结束停止赋予；已生成球保持到结算</x:t>
  </x:si>
  <x:si>
    <x:t xml:space="preserve">期间血液消耗提高20%</x:t>
  </x:si>
  <x:si>
    <x:t xml:space="preserve">只在生成时快照属性，存量球不追溯修改</x:t>
  </x:si>
  <x:si>
    <x:t xml:space="preserve">M002</x:t>
  </x:si>
  <x:si>
    <x:t xml:space="preserve">烧烧果实</x:t>
  </x:si>
  <x:si>
    <x:t xml:space="preserve">RUSH收益</x:t>
  </x:si>
  <x:si>
    <x:t xml:space="preserve">占位补全建议</x:t>
  </x:si>
  <x:si>
    <x:t xml:space="preserve">Sheet1!3</x:t>
  </x:si>
  <x:si>
    <x:t xml:space="preserve">Rush；在效果时间内发射的弹珠；20</x:t>
  </x:si>
  <x:si>
    <x:t xml:space="preserve">服用后发射；该球在RUSH中结算</x:t>
  </x:si>
  <x:si>
    <x:t xml:space="preserve">每球结算后结束</x:t>
  </x:si>
  <x:si>
    <x:t xml:space="preserve">额外倍率归属于球的条件得分层，不能写回全局RUSH_MULT</x:t>
  </x:si>
  <x:si>
    <x:t xml:space="preserve">M003</x:t>
  </x:si>
  <x:si>
    <x:t xml:space="preserve">延长药剂</x:t>
  </x:si>
  <x:si>
    <x:t xml:space="preserve">RUSH持续时间</x:t>
  </x:si>
  <x:si>
    <x:t xml:space="preserve">窗口结束停止赋予；已生成球保持到结算，RUSH延长时间至最后一次触发延长效果结束</x:t>
  </x:si>
  <x:si>
    <x:t xml:space="preserve">M004</x:t>
  </x:si>
  <x:si>
    <x:t xml:space="preserve">润流剂</x:t>
  </x:si>
  <x:si>
    <x:t xml:space="preserve">物理</x:t>
  </x:si>
  <x:si>
    <x:t xml:space="preserve">Sheet1!4</x:t>
  </x:si>
  <x:si>
    <x:t xml:space="preserve">物理；在效果时间内发射的弹珠；20</x:t>
  </x:si>
  <x:si>
    <x:t xml:space="preserve">价值降低10%，反弹路线更难预测</x:t>
  </x:si>
  <x:si>
    <x:t xml:space="preserve">保留物理标签与20秒；弹性总值封顶1.20</x:t>
  </x:si>
  <x:si>
    <x:t xml:space="preserve">使用球独立物理材质，避免修改共享材质影响全场</x:t>
  </x:si>
  <x:si>
    <x:t xml:space="preserve">M006</x:t>
  </x:si>
  <x:si>
    <x:t xml:space="preserve">凝血剂</x:t>
  </x:si>
  <x:si>
    <x:t xml:space="preserve">价值与物理</x:t>
  </x:si>
  <x:si>
    <x:t xml:space="preserve">Sheet1!6</x:t>
  </x:si>
  <x:si>
    <x:t xml:space="preserve">在效果时间内发射的弹珠；20</x:t>
  </x:si>
  <x:si>
    <x:t xml:space="preserve">球更大易卡口，血耗增加</x:t>
  </x:si>
  <x:si>
    <x:t xml:space="preserve">原条目无标签；新类别和全部效果均为建议</x:t>
  </x:si>
  <x:si>
    <x:t xml:space="preserve">按体积换算半径；受BALL_RADIUS边界限制，卡球计时清理</x:t>
  </x:si>
  <x:si>
    <x:t xml:space="preserve">M007</x:t>
  </x:si>
  <x:si>
    <x:t xml:space="preserve">摇头丸</x:t>
  </x:si>
  <x:si>
    <x:t xml:space="preserve">线路更加不稳定</x:t>
  </x:si>
  <x:si>
    <x:t xml:space="preserve">M008</x:t>
  </x:si>
  <x:si>
    <x:t xml:space="preserve">稀血剂</x:t>
  </x:si>
  <x:si>
    <x:t xml:space="preserve">M009</x:t>
  </x:si>
  <x:si>
    <x:t xml:space="preserve">无限增值</x:t>
  </x:si>
  <x:si>
    <x:t xml:space="preserve">窗口内新生成球，以及所有带有无限增值属性的球</x:t>
  </x:si>
  <x:si>
    <x:t xml:space="preserve">血耗增加，体积增大</x:t>
  </x:si>
  <x:si>
    <x:t xml:space="preserve">M0010</x:t>
  </x:si>
  <x:si>
    <x:t xml:space="preserve">磁堕</x:t>
  </x:si>
  <x:si>
    <x:t xml:space="preserve">血耗增加</x:t>
  </x:si>
  <x:si>
    <x:t xml:space="preserve">定向试剂（补全名）</x:t>
  </x:si>
  <x:si>
    <x:t xml:space="preserve">控制</x:t>
  </x:si>
  <x:si>
    <x:t xml:space="preserve">Sheet1!7</x:t>
  </x:si>
  <x:si>
    <x:t xml:space="preserve">服用后发射；首次传送</x:t>
  </x:si>
  <x:si>
    <x:t xml:space="preserve">首次传送消耗方向效果；价值减益至结算</x:t>
  </x:si>
  <x:si>
    <x:t xml:space="preserve">价值降低10%，对无传送门构筑无收益</x:t>
  </x:si>
  <x:si>
    <x:t xml:space="preserve">提供可预测路径；不能恢复流程已删除的手动弹射装置</x:t>
  </x:si>
  <x:si>
    <x:t xml:space="preserve">每球消费一次方向标记，不改变门配对或位置</x:t>
  </x:si>
  <x:si>
    <x:t xml:space="preserve">I001</x:t>
  </x:si>
  <x:si>
    <x:t xml:space="preserve">刻度卡尺</x:t>
  </x:si>
  <x:si>
    <x:t xml:space="preserve">道具</x:t>
  </x:si>
  <x:si>
    <x:t xml:space="preserve">信息与布置</x:t>
  </x:si>
  <x:si>
    <x:t xml:space="preserve">新增建议</x:t>
  </x:si>
  <x:si>
    <x:t xml:space="preserve">流程图第1页及本次设计</x:t>
  </x:si>
  <x:si>
    <x:t xml:space="preserve">无，新增建议</x:t>
  </x:si>
  <x:si>
    <x:t xml:space="preserve">布置阶段显示增幅塔20cm连线范围和传送门出口预测线</x:t>
  </x:si>
  <x:si>
    <x:t xml:space="preserve">持有且处于布置阶段</x:t>
  </x:si>
  <x:si>
    <x:t xml:space="preserve">布置界面</x:t>
  </x:si>
  <x:si>
    <x:t xml:space="preserve">本局持有期间</x:t>
  </x:si>
  <x:si>
    <x:t xml:space="preserve">出售或本局结束</x:t>
  </x:si>
  <x:si>
    <x:t xml:space="preserve">唯一持有</x:t>
  </x:si>
  <x:si>
    <x:t xml:space="preserve">占用1道具槽</x:t>
  </x:si>
  <x:si>
    <x:t xml:space="preserve">信息收益不加全局倍率，降低布局试错</x:t>
  </x:si>
  <x:si>
    <x:t xml:space="preserve">预测线只画初始段，不宣称完整随机物理轨迹</x:t>
  </x:si>
  <x:si>
    <x:t xml:space="preserve">I002</x:t>
  </x:si>
  <x:si>
    <x:t xml:space="preserve">节流阀</x:t>
  </x:si>
  <x:si>
    <x:t xml:space="preserve">血液经济</x:t>
  </x:si>
  <x:si>
    <x:t xml:space="preserve">所有新发射血耗×0.90，同时基础价值×0.95</x:t>
  </x:si>
  <x:si>
    <x:t xml:space="preserve">持有时发射</x:t>
  </x:si>
  <x:si>
    <x:t xml:space="preserve">新生成球</x:t>
  </x:si>
  <x:si>
    <x:t xml:space="preserve">出售后只影响后续发射</x:t>
  </x:si>
  <x:si>
    <x:t xml:space="preserve">单球价值降低5%</x:t>
  </x:si>
  <x:si>
    <x:t xml:space="preserve">约提高价值/血量5.6%；注意与凝珠剂和肾上腺素同算</x:t>
  </x:si>
  <x:si>
    <x:t xml:space="preserve">血耗先乘药物和道具，再按BLOOD_COST上下限夹紧</x:t>
  </x:si>
  <x:si>
    <x:t xml:space="preserve">I003</x:t>
  </x:si>
  <x:si>
    <x:t xml:space="preserve">退潮凭证</x:t>
  </x:si>
  <x:si>
    <x:t xml:space="preserve">提现</x:t>
  </x:si>
  <x:si>
    <x:t xml:space="preserve">成功通关且主动提现时，剩余血量换金系数k乘1.15</x:t>
  </x:si>
  <x:si>
    <x:t xml:space="preserve">主动提现完成且最终总分达标</x:t>
  </x:si>
  <x:si>
    <x:t xml:space="preserve">剩余血量收益</x:t>
  </x:si>
  <x:si>
    <x:t xml:space="preserve">每回合最多1次</x:t>
  </x:si>
  <x:si>
    <x:t xml:space="preserve">本次结算完成</x:t>
  </x:si>
  <x:si>
    <x:t xml:space="preserve">只增加平方根提现收益，不放大银行金币</x:t>
  </x:si>
  <x:si>
    <x:t xml:space="preserve">条件含最终赌狗结算结果；失败不发奖励</x:t>
  </x:si>
  <x:si>
    <x:t xml:space="preserve">I004</x:t>
  </x:si>
  <x:si>
    <x:t xml:space="preserve">止损票</x:t>
  </x:si>
  <x:si>
    <x:t xml:space="preserve">赌博保险</x:t>
  </x:si>
  <x:si>
    <x:t xml:space="preserve">本局下一次赌狗结算全损时返还筹码池价值20%为得分，消耗道具</x:t>
  </x:si>
  <x:si>
    <x:t xml:space="preserve">赌狗结果为全损</x:t>
  </x:si>
  <x:si>
    <x:t xml:space="preserve">本次筹码池</x:t>
  </x:si>
  <x:si>
    <x:t xml:space="preserve">本局一次</x:t>
  </x:si>
  <x:si>
    <x:t xml:space="preserve">触发即销毁</x:t>
  </x:si>
  <x:si>
    <x:t xml:space="preserve">消耗型，占用道具槽直到触发</x:t>
  </x:si>
  <x:si>
    <x:t xml:space="preserve">只减小下行波动，不重抽中奖结果</x:t>
  </x:si>
  <x:si>
    <x:t xml:space="preserve">原结果仍记为全损，不触发胜利类效果</x:t>
  </x:si>
  <x:si>
    <x:t xml:space="preserve">I005</x:t>
  </x:si>
  <x:si>
    <x:t xml:space="preserve">节拍徽章</x:t>
  </x:si>
  <x:si>
    <x:t xml:space="preserve">RUSH节奏</x:t>
  </x:si>
  <x:si>
    <x:t xml:space="preserve">RUSH持续时间+2秒，RUSH得分倍率减少0.20</x:t>
  </x:si>
  <x:si>
    <x:t xml:space="preserve">持有时RUSH开始</x:t>
  </x:si>
  <x:si>
    <x:t xml:space="preserve">本次RUSH状态</x:t>
  </x:si>
  <x:si>
    <x:t xml:space="preserve">RUSH开始时快照</x:t>
  </x:si>
  <x:si>
    <x:t xml:space="preserve">瞬时倍率降低</x:t>
  </x:si>
  <x:si>
    <x:t xml:space="preserve">以字典默认10秒×2为参照，变为12秒×1.8；需以实际入球数评估</x:t>
  </x:si>
  <x:si>
    <x:t xml:space="preserve">RUSH期间命中不重启或叠加时长，避免常驻</x:t>
  </x:si>
  <x:si>
    <x:t xml:space="preserve">I006</x:t>
  </x:si>
  <x:si>
    <x:t xml:space="preserve">清障扳手</x:t>
  </x:si>
  <x:si>
    <x:t xml:space="preserve">故障救济</x:t>
  </x:si>
  <x:si>
    <x:t xml:space="preserve">本回合首次有球连续2秒速度低于0.1 unit/s时，给予向下2 unit/s脉冲</x:t>
  </x:si>
  <x:si>
    <x:t xml:space="preserve">球卡滞判定</x:t>
  </x:si>
  <x:si>
    <x:t xml:space="preserve">最先卡滞的球</x:t>
  </x:si>
  <x:si>
    <x:t xml:space="preserve">每回合1次</x:t>
  </x:si>
  <x:si>
    <x:t xml:space="preserve">使用后本回合不可再触发，下回合重置</x:t>
  </x:si>
  <x:si>
    <x:t xml:space="preserve">救球次数有限，可能进入低收益出口</x:t>
  </x:si>
  <x:si>
    <x:t xml:space="preserve">为物理随机性提供有限补救，不保证得分</x:t>
  </x:si>
  <x:si>
    <x:t xml:space="preserve">暂停与储轮存球不算卡滞；仍受最大速度约束</x:t>
  </x:si>
  <x:si>
    <x:t xml:space="preserve">I007</x:t>
  </x:si>
  <x:si>
    <x:t xml:space="preserve">吸铁石</x:t>
  </x:si>
  <x:si>
    <x:t xml:space="preserve">每回合可以使用1次，5s操作时间，可对所有带有磁力属性的物品有
引力效果（物品包括装置和弹珠）</x:t>
  </x:si>
  <x:si>
    <x:t xml:space="preserve">选择道具并使用</x:t>
  </x:si>
  <x:si>
    <x:t xml:space="preserve">所有带有磁力属性装置和弹珠</x:t>
  </x:si>
  <x:si>
    <x:t xml:space="preserve">5s</x:t>
  </x:si>
  <x:si>
    <x:t xml:space="preserve">时间结束</x:t>
  </x:si>
  <x:si>
    <x:t xml:space="preserve">效果参数</x:t>
  </x:si>
  <x:si>
    <x:t xml:space="preserve">空白时长值表示按事件结束，见时长单位。数值为0且单位为即时表示一次性效果。</x:t>
  </x:si>
  <x:si>
    <x:t xml:space="preserve">效果ID</x:t>
  </x:si>
  <x:si>
    <x:t xml:space="preserve">运算</x:t>
  </x:si>
  <x:si>
    <x:t xml:space="preserve">数值</x:t>
  </x:si>
  <x:si>
    <x:t xml:space="preserve">单位</x:t>
  </x:si>
  <x:si>
    <x:t xml:space="preserve">作用域</x:t>
  </x:si>
  <x:si>
    <x:t xml:space="preserve">时长值</x:t>
  </x:si>
  <x:si>
    <x:t xml:space="preserve">时长单位</x:t>
  </x:si>
  <x:si>
    <x:t xml:space="preserve">冷却秒</x:t>
  </x:si>
  <x:si>
    <x:t xml:space="preserve">触发或层数上限</x:t>
  </x:si>
  <x:si>
    <x:t xml:space="preserve">依据</x:t>
  </x:si>
  <x:si>
    <x:t xml:space="preserve">参数说明</x:t>
  </x:si>
  <x:si>
    <x:t xml:space="preserve">D001-01</x:t>
  </x:si>
  <x:si>
    <x:t xml:space="preserve">BANK_RATE</x:t>
  </x:si>
  <x:si>
    <x:t xml:space="preserve">SET</x:t>
  </x:si>
  <x:si>
    <x:t xml:space="preserve">金币/价值</x:t>
  </x:si>
  <x:si>
    <x:t xml:space="preserve">入银行</x:t>
  </x:si>
  <x:si>
    <x:t xml:space="preserve">取整前乘利率和金血悬液；只结算一次</x:t>
  </x:si>
  <x:si>
    <x:t xml:space="preserve">D001-02</x:t>
  </x:si>
  <x:si>
    <x:t xml:space="preserve">BANK_INTEREST</x:t>
  </x:si>
  <x:si>
    <x:t xml:space="preserve">ADD</x:t>
  </x:si>
  <x:si>
    <x:t xml:space="preserve">ratio</x:t>
  </x:si>
  <x:si>
    <x:t xml:space="preserve">原表</x:t>
  </x:si>
  <x:si>
    <x:t xml:space="preserve">本金系数1，加利率0.20</x:t>
  </x:si>
  <x:si>
    <x:t xml:space="preserve">D002-01</x:t>
  </x:si>
  <x:si>
    <x:t xml:space="preserve">TOWER_LINK_DISTANCE</x:t>
  </x:si>
  <x:si>
    <x:t xml:space="preserve">cm</x:t>
  </x:si>
  <x:si>
    <x:t xml:space="preserve">布置</x:t>
  </x:si>
  <x:si>
    <x:t xml:space="preserve">塔对</x:t>
  </x:si>
  <x:si>
    <x:t xml:space="preserve">持有</x:t>
  </x:si>
  <x:si>
    <x:t xml:space="preserve">Unity/Godot场景单位换算需统一</x:t>
  </x:si>
  <x:si>
    <x:t xml:space="preserve">D002-02</x:t>
  </x:si>
  <x:si>
    <x:t xml:space="preserve">MUL</x:t>
  </x:si>
  <x:si>
    <x:t xml:space="preserve">x</x:t>
  </x:si>
  <x:si>
    <x:t xml:space="preserve">穿线</x:t>
  </x:si>
  <x:si>
    <x:t xml:space="preserve">至结算</x:t>
  </x:si>
  <x:si>
    <x:t xml:space="preserve">原公式n未定；同线1次，全场3次</x:t>
  </x:si>
  <x:si>
    <x:t xml:space="preserve">D003-01</x:t>
  </x:si>
  <x:si>
    <x:t xml:space="preserve">BALL_SPEED_DELTA</x:t>
  </x:si>
  <x:si>
    <x:t xml:space="preserve">unit/s</x:t>
  </x:si>
  <x:si>
    <x:t xml:space="preserve">输出</x:t>
  </x:si>
  <x:si>
    <x:t xml:space="preserve">实际速度属性扩展，不能用发射速度倍率代替</x:t>
  </x:si>
  <x:si>
    <x:t xml:space="preserve">D004-01</x:t>
  </x:si>
  <x:si>
    <x:t xml:space="preserve">PORTAL_TRANSFER</x:t>
  </x:si>
  <x:si>
    <x:t xml:space="preserve">EVENT</x:t>
  </x:si>
  <x:si>
    <x:t xml:space="preserve">次</x:t>
  </x:si>
  <x:si>
    <x:t xml:space="preserve">入门</x:t>
  </x:si>
  <x:si>
    <x:t xml:space="preserve">上限按门对；冷却按球全场共享</x:t>
  </x:si>
  <x:si>
    <x:t xml:space="preserve">D005-01</x:t>
  </x:si>
  <x:si>
    <x:t xml:space="preserve">RUSH_TRIGGER_CHANCE</x:t>
  </x:si>
  <x:si>
    <x:t xml:space="preserve">probability</x:t>
  </x:si>
  <x:si>
    <x:t xml:space="preserve">过叶后得分</x:t>
  </x:si>
  <x:si>
    <x:t xml:space="preserve">球家族</x:t>
  </x:si>
  <x:si>
    <x:t xml:space="preserve">首次检定</x:t>
  </x:si>
  <x:si>
    <x:t xml:space="preserve">25%基线是原装置设想，不代表流程已确认</x:t>
  </x:si>
  <x:si>
    <x:t xml:space="preserve">D006-01</x:t>
  </x:si>
  <x:si>
    <x:t xml:space="preserve">DEVICE_CAPACITY</x:t>
  </x:si>
  <x:si>
    <x:t xml:space="preserve">count</x:t>
  </x:si>
  <x:si>
    <x:t xml:space="preserve">入轮</x:t>
  </x:si>
  <x:si>
    <x:t xml:space="preserve">秒</x:t>
  </x:si>
  <x:si>
    <x:t xml:space="preserve">每球只储存一次，满容量走旁路</x:t>
  </x:si>
  <x:si>
    <x:t xml:space="preserve">D006-02</x:t>
  </x:si>
  <x:si>
    <x:t xml:space="preserve">DEVICE_RELEASE_INTERVAL</x:t>
  </x:si>
  <x:si>
    <x:t xml:space="preserve">秒/球</x:t>
  </x:si>
  <x:si>
    <x:t xml:space="preserve">释放</x:t>
  </x:si>
  <x:si>
    <x:t xml:space="preserve">不复用原释放速度字段：其单位定义冲突</x:t>
  </x:si>
  <x:si>
    <x:t xml:space="preserve">D007-01</x:t>
  </x:si>
  <x:si>
    <x:t xml:space="preserve">子球数</x:t>
  </x:si>
  <x:si>
    <x:t xml:space="preserve">入分流器</x:t>
  </x:si>
  <x:si>
    <x:t xml:space="preserve">原表+建议代数</x:t>
  </x:si>
  <x:si>
    <x:t xml:space="preserve">2代上限，母球替换为两球</x:t>
  </x:si>
  <x:si>
    <x:t xml:space="preserve">D007-02</x:t>
  </x:si>
  <x:si>
    <x:t xml:space="preserve">分裂</x:t>
  </x:si>
  <x:si>
    <x:t xml:space="preserve">子球</x:t>
  </x:si>
  <x:si>
    <x:t xml:space="preserve">先分值不取整，保持价值守恒</x:t>
  </x:si>
  <x:si>
    <x:t xml:space="preserve">D007-03</x:t>
  </x:si>
  <x:si>
    <x:t xml:space="preserve">BALL_VOLUME_RATIO</x:t>
  </x:si>
  <x:si>
    <x:t xml:space="preserve">至消失</x:t>
  </x:si>
  <x:si>
    <x:t xml:space="preserve">体积半分不是半径半分</x:t>
  </x:si>
  <x:si>
    <x:t xml:space="preserve">M001-01</x:t>
  </x:si>
  <x:si>
    <x:t xml:space="preserve">发射</x:t>
  </x:si>
  <x:si>
    <x:t xml:space="preserve">新球</x:t>
  </x:si>
  <x:si>
    <x:t xml:space="preserve">发射窗口秒</x:t>
  </x:si>
  <x:si>
    <x:t xml:space="preserve">增加10个百分点，最终封顶0.75</x:t>
  </x:si>
  <x:si>
    <x:t xml:space="preserve">M001-02</x:t>
  </x:si>
  <x:si>
    <x:t xml:space="preserve">发射事务</x:t>
  </x:si>
  <x:si>
    <x:t xml:space="preserve">同次发射先计算成本，再生成球</x:t>
  </x:si>
  <x:si>
    <x:t xml:space="preserve">M002-01</x:t>
  </x:si>
  <x:si>
    <x:t xml:space="preserve">BALL_RUSH_SCORE_MOD</x:t>
  </x:si>
  <x:si>
    <x:t xml:space="preserve">RUSH期间得分</x:t>
  </x:si>
  <x:si>
    <x:t xml:space="preserve">球上条件倍率，不改变全局状态</x:t>
  </x:si>
  <x:si>
    <x:t xml:space="preserve">M002-02</x:t>
  </x:si>
  <x:si>
    <x:t xml:space="preserve">非RUSH也降低</x:t>
  </x:si>
  <x:si>
    <x:t xml:space="preserve">M003-01</x:t>
  </x:si>
  <x:si>
    <x:t xml:space="preserve">原时长+建议效果</x:t>
  </x:si>
  <x:si>
    <x:t xml:space="preserve">原字典默认0.25变为0.15</x:t>
  </x:si>
  <x:si>
    <x:t xml:space="preserve">M003-02</x:t>
  </x:si>
  <x:si>
    <x:t xml:space="preserve">最终夹紧0至1.20</x:t>
  </x:si>
  <x:si>
    <x:t xml:space="preserve">M003-03</x:t>
  </x:si>
  <x:si>
    <x:t xml:space="preserve">物理收益的代价</x:t>
  </x:si>
  <x:si>
    <x:t xml:space="preserve">M004-01</x:t>
  </x:si>
  <x:si>
    <x:t xml:space="preserve">BANK_BALL_MOD</x:t>
  </x:si>
  <x:si>
    <x:t xml:space="preserve">金币取整之前生效</x:t>
  </x:si>
  <x:si>
    <x:t xml:space="preserve">M004-02</x:t>
  </x:si>
  <x:si>
    <x:t xml:space="preserve">BALL_SCORE_MOD</x:t>
  </x:si>
  <x:si>
    <x:t xml:space="preserve">普通得分</x:t>
  </x:si>
  <x:si>
    <x:t xml:space="preserve">不再降低银行使用的球价值</x:t>
  </x:si>
  <x:si>
    <x:t xml:space="preserve">M005-01</x:t>
  </x:si>
  <x:si>
    <x:t xml:space="preserve">M005</x:t>
  </x:si>
  <x:si>
    <x:t xml:space="preserve">与增幅塔连乘但受每球次数控制</x:t>
  </x:si>
  <x:si>
    <x:t xml:space="preserve">M005-02</x:t>
  </x:si>
  <x:si>
    <x:t xml:space="preserve">半径按体积换算</x:t>
  </x:si>
  <x:si>
    <x:t xml:space="preserve">M005-03</x:t>
  </x:si>
  <x:si>
    <x:t xml:space="preserve">与肾上腺素相乘</x:t>
  </x:si>
  <x:si>
    <x:t xml:space="preserve">M006-01</x:t>
  </x:si>
  <x:si>
    <x:t xml:space="preserve">PORTAL_EXIT_DOWN</x:t>
  </x:si>
  <x:si>
    <x:t xml:space="preserve">布尔</x:t>
  </x:si>
  <x:si>
    <x:t xml:space="preserve">首次传送</x:t>
  </x:si>
  <x:si>
    <x:t xml:space="preserve">1表示强制朝下，消费后清除</x:t>
  </x:si>
  <x:si>
    <x:t xml:space="preserve">M006-02</x:t>
  </x:si>
  <x:si>
    <x:t xml:space="preserve">没有经过传送门也承受减益</x:t>
  </x:si>
  <x:si>
    <x:t xml:space="preserve">I001-01</x:t>
  </x:si>
  <x:si>
    <x:t xml:space="preserve">LAYOUT_PREVIEW</x:t>
  </x:si>
  <x:si>
    <x:t xml:space="preserve">界面</x:t>
  </x:si>
  <x:si>
    <x:t xml:space="preserve">本局持有</x:t>
  </x:si>
  <x:si>
    <x:t xml:space="preserve">1显示范围</x:t>
  </x:si>
  <x:si>
    <x:t xml:space="preserve">I002-01</x:t>
  </x:si>
  <x:si>
    <x:t xml:space="preserve">消耗不能低于0.1</x:t>
  </x:si>
  <x:si>
    <x:t xml:space="preserve">I002-02</x:t>
  </x:si>
  <x:si>
    <x:t xml:space="preserve">快照后不因出售撤回</x:t>
  </x:si>
  <x:si>
    <x:t xml:space="preserve">I003-01</x:t>
  </x:si>
  <x:si>
    <x:t xml:space="preserve">CASHOUT_K_MOD</x:t>
  </x:si>
  <x:si>
    <x:t xml:space="preserve">成功主动提现</x:t>
  </x:si>
  <x:si>
    <x:t xml:space="preserve">结算</x:t>
  </x:si>
  <x:si>
    <x:t xml:space="preserve">每回合至多一次，不乘银行收益</x:t>
  </x:si>
  <x:si>
    <x:t xml:space="preserve">I004-01</x:t>
  </x:si>
  <x:si>
    <x:t xml:space="preserve">GAMBLE_LOSS_REFUND</x:t>
  </x:si>
  <x:si>
    <x:t xml:space="preserve">全损结果</x:t>
  </x:si>
  <x:si>
    <x:t xml:space="preserve">筹码池</x:t>
  </x:si>
  <x:si>
    <x:t xml:space="preserve">返还为得分而非金币</x:t>
  </x:si>
  <x:si>
    <x:t xml:space="preserve">I005-01</x:t>
  </x:si>
  <x:si>
    <x:t xml:space="preserve">sec</x:t>
  </x:si>
  <x:si>
    <x:t xml:space="preserve">RUSH开始</x:t>
  </x:si>
  <x:si>
    <x:t xml:space="preserve">最低1秒</x:t>
  </x:si>
  <x:si>
    <x:t xml:space="preserve">I005-02</x:t>
  </x:si>
  <x:si>
    <x:t xml:space="preserve">最低1倍</x:t>
  </x:si>
  <x:si>
    <x:t xml:space="preserve">I006-01</x:t>
  </x:si>
  <x:si>
    <x:t xml:space="preserve">STUCK_TIME</x:t>
  </x:si>
  <x:si>
    <x:t xml:space="preserve">卡滞</x:t>
  </x:si>
  <x:si>
    <x:t xml:space="preserve">球</x:t>
  </x:si>
  <x:si>
    <x:t xml:space="preserve">每回合一次</x:t>
  </x:si>
  <x:si>
    <x:t xml:space="preserve">速度&lt;0.1且不处于储存/暂停</x:t>
  </x:si>
  <x:si>
    <x:t xml:space="preserve">I006-02</x:t>
  </x:si>
  <x:si>
    <x:t xml:space="preserve">UNSTUCK_IMPULSE</x:t>
  </x:si>
  <x:si>
    <x:t xml:space="preserve">卡滞触发</x:t>
  </x:si>
  <x:si>
    <x:t xml:space="preserve">向下速度增量，受最大速度限制</x:t>
  </x:si>
  <x:si>
    <x:t xml:space="preserve">属性扩展</x:t>
  </x:si>
  <x:si>
    <x:t xml:space="preserve">定义及作用域</x:t>
  </x:si>
  <x:si>
    <x:t xml:space="preserve">D001：取整前乘利率和金血悬液；只结算一次</x:t>
  </x:si>
  <x:si>
    <x:t xml:space="preserve">新增建议，接入前确认</x:t>
  </x:si>
  <x:si>
    <x:t xml:space="preserve">D001：本金系数1，加利率0.20</x:t>
  </x:si>
  <x:si>
    <x:t xml:space="preserve">D002：Unity/Godot场景单位换算需统一</x:t>
  </x:si>
  <x:si>
    <x:t xml:space="preserve">D003：实际速度属性扩展，不能用发射速度倍率代替</x:t>
  </x:si>
  <x:si>
    <x:t xml:space="preserve">D004：上限按门对；冷却按球全场共享</x:t>
  </x:si>
  <x:si>
    <x:t xml:space="preserve">D005：25%基线是原装置设想，不代表流程已确认；M001：增加10个百分点，最终封顶0.75</x:t>
  </x:si>
  <x:si>
    <x:t xml:space="preserve">D006：不复用原释放速度字段：其单位定义冲突</x:t>
  </x:si>
  <x:si>
    <x:t xml:space="preserve">D007：体积半分不是半径半分；M005：半径按体积换算</x:t>
  </x:si>
  <x:si>
    <x:t xml:space="preserve">M002：球上条件倍率，不改变全局状态</x:t>
  </x:si>
  <x:si>
    <x:t xml:space="preserve">M004：金币取整之前生效</x:t>
  </x:si>
  <x:si>
    <x:t xml:space="preserve">M004：不再降低银行使用的球价值</x:t>
  </x:si>
  <x:si>
    <x:t xml:space="preserve">M006：1表示强制朝下，消费后清除</x:t>
  </x:si>
  <x:si>
    <x:t xml:space="preserve">I001：1显示范围</x:t>
  </x:si>
  <x:si>
    <x:t xml:space="preserve">I003：每回合至多一次，不乘银行收益</x:t>
  </x:si>
  <x:si>
    <x:t xml:space="preserve">I004：返还为得分而非金币</x:t>
  </x:si>
  <x:si>
    <x:t xml:space="preserve">I006：速度&lt;0.1且不处于储存/暂停</x:t>
  </x:si>
  <x:si>
    <x:t xml:space="preserve">I006：向下速度增量，受最大速度限制</x:t>
  </x:si>
  <x:si>
    <x:t xml:space="preserve">分类与使用说明</x:t>
  </x:si>
  <x:si>
    <x:t xml:space="preserve">主题</x:t>
  </x:si>
  <x:si>
    <x:t xml:space="preserve">分项</x:t>
  </x:si>
  <x:si>
    <x:t xml:space="preserve">关联</x:t>
  </x:si>
  <x:si>
    <x:t xml:space="preserve">设计方向或说明</x:t>
  </x:si>
  <x:si>
    <x:t xml:space="preserve">约束</x:t>
  </x:si>
  <x:si>
    <x:t xml:space="preserve">路径控制、价值增益、概率、经济出口、时序</x:t>
  </x:si>
  <x:si>
    <x:t xml:space="preserve">D001–D007</x:t>
  </x:si>
  <x:si>
    <x:t xml:space="preserve">布置改变球的行进与出口选择；强化收益应占位置或要求路线</x:t>
  </x:si>
  <x:si>
    <x:t xml:space="preserve">银行与得分口互斥；增幅有次数上限；传送带冷却</x:t>
  </x:si>
  <x:si>
    <x:t xml:space="preserve">概率爆发、RUSH收益、物理、经济、价值、控制</x:t>
  </x:si>
  <x:si>
    <x:t xml:space="preserve">M001–M006</x:t>
  </x:si>
  <x:si>
    <x:t xml:space="preserve">短时间改变新球，让玩家根据当前布局选择服药时机</x:t>
  </x:si>
  <x:si>
    <x:t xml:space="preserve">保留10/20秒原时长；收益配负面效果；同类刷新不同类可并存</x:t>
  </x:si>
  <x:si>
    <x:t xml:space="preserve">信息、节流、提现、止损、节奏、救球</x:t>
  </x:si>
  <x:si>
    <x:t xml:space="preserve">I001–I006</x:t>
  </x:si>
  <x:si>
    <x:t xml:space="preserve">跨回合形成构筑倾向，提供可预测性与有限容错</x:t>
  </x:si>
  <x:si>
    <x:t xml:space="preserve">建议持有上限3槽、同名唯一；止损票一次性消耗，其他随局持有</x:t>
  </x:si>
  <x:si>
    <x:t xml:space="preserve">原始材料</x:t>
  </x:si>
  <x:si>
    <x:t xml:space="preserve">保留范围</x:t>
  </x:si>
  <x:si>
    <x:t xml:space="preserve">原表全部4页</x:t>
  </x:si>
  <x:si>
    <x:t xml:space="preserve">00_ATTRIBUTE_DICTIONARY (2)、Sheet1、Sheet2、Sheet3保留原名和内容</x:t>
  </x:si>
  <x:si>
    <x:t xml:space="preserve">13行原构思含6个占位均逐行关联。原空道具页不伪造历史内容</x:t>
  </x:si>
  <x:si>
    <x:t xml:space="preserve">新增字段</x:t>
  </x:si>
  <x:si>
    <x:t xml:space="preserve">表间关联</x:t>
  </x:si>
  <x:si>
    <x:t xml:space="preserve">设计总表与效果参数</x:t>
  </x:si>
  <x:si>
    <x:t xml:space="preserve">设计ID一对多关联效果ID；原表定位按原始行号；属性ID复用原字典或见属性扩展</x:t>
  </x:si>
  <x:si>
    <x:t xml:space="preserve">效果参数是数值配置入口，设计总表为规则说明；修改数值时同步文案</x:t>
  </x:si>
  <x:si>
    <x:t xml:space="preserve">数值状态</x:t>
  </x:si>
  <x:si>
    <x:t xml:space="preserve">区分已给定与建议</x:t>
  </x:si>
  <x:si>
    <x:t xml:space="preserve">全部新增设计待测试</x:t>
  </x:si>
  <x:si>
    <x:t xml:space="preserve">原表中的10/20秒、20cm、+5、25%到75%、20%利率和半分保留并注明</x:t>
  </x:si>
  <x:si>
    <x:t xml:space="preserve">价格与掉落权重暂无经济基线，不伪造定价；建议稀有度不是掉率</x:t>
  </x:si>
  <x:si>
    <x:t xml:space="preserve">稀有度</x:t>
  </x:si>
  <x:si>
    <x:t xml:space="preserve">使用原字典枚举</x:t>
  </x:si>
  <x:si>
    <x:t xml:space="preserve">Common / Uncommon / Rare / Epic / Legendary</x:t>
  </x:si>
  <x:si>
    <x:t xml:space="preserve">Common：单一控制或小收益；Uncommon：两机制联动；Rare：改写经济或概率；更高等级留空</x:t>
  </x:si>
  <x:si>
    <x:t xml:space="preserve">原强度预算10/18/30/50/80原样保留，未建立计分标尺前不强行分配点数</x:t>
  </x:si>
  <x:si>
    <x:t xml:space="preserve">优先级</x:t>
  </x:si>
  <x:si>
    <x:t xml:space="preserve">原型落地</x:t>
  </x:si>
  <x:si>
    <x:t xml:space="preserve">P0先做；P1后做</x:t>
  </x:si>
  <x:si>
    <x:t xml:space="preserve">先接发射快照、得分与退出清场，再做银行、增幅、离心、传送、分裂和肾上腺素</x:t>
  </x:si>
  <x:si>
    <x:t xml:space="preserve">先用固定随机种子对照，后验证随机局的达标率、时长、金币与卡球率</x:t>
  </x:si>
  <x:si>
    <x:t xml:space="preserve">使用方式</x:t>
  </x:si>
  <x:si>
    <x:t xml:space="preserve">筛选与维护</x:t>
  </x:si>
  <x:si>
    <x:t xml:space="preserve">设计总表、效果参数</x:t>
  </x:si>
  <x:si>
    <x:t xml:space="preserve">按大类、子类、稀有度、状态筛选；新增效果须有唯一设计ID和属性ID</x:t>
  </x:si>
  <x:si>
    <x:t xml:space="preserve">黄色沙盘数值可改；所有默认测试数值均不代表已验证平衡</x:t>
  </x:si>
  <x:si>
    <x:t xml:space="preserve">流程与规则</x:t>
  </x:si>
  <x:si>
    <x:t xml:space="preserve">规则ID</x:t>
  </x:si>
  <x:si>
    <x:t xml:space="preserve">环节</x:t>
  </x:si>
  <x:si>
    <x:t xml:space="preserve">依据级别</x:t>
  </x:si>
  <x:si>
    <x:t xml:space="preserve">规范规则</x:t>
  </x:si>
  <x:si>
    <x:t xml:space="preserve">待确认或边界</x:t>
  </x:si>
  <x:si>
    <x:t xml:space="preserve">关联设计</x:t>
  </x:si>
  <x:si>
    <x:t xml:space="preserve">F01</x:t>
  </x:si>
  <x:si>
    <x:t xml:space="preserve">回合开始补满血</x:t>
  </x:si>
  <x:si>
    <x:t xml:space="preserve">正式流程</x:t>
  </x:si>
  <x:si>
    <x:t xml:space="preserve">回合血量重置，保留本局装置与持有道具</x:t>
  </x:si>
  <x:si>
    <x:t xml:space="preserve">最大血量、器官抵押影响尚待确认</x:t>
  </x:si>
  <x:si>
    <x:t xml:space="preserve">全局</x:t>
  </x:si>
  <x:si>
    <x:t xml:space="preserve">F02</x:t>
  </x:si>
  <x:si>
    <x:t xml:space="preserve">调整抽血机，空格发射</x:t>
  </x:si>
  <x:si>
    <x:t xml:space="preserve">先快照药物/道具，再扣血、生成特殊球</x:t>
  </x:si>
  <x:si>
    <x:t xml:space="preserve">球价值与血耗映射待定；不恢复已删除的复杂手动弹射装置</x:t>
  </x:si>
  <x:si>
    <x:t xml:space="preserve">M001–M006、I002</x:t>
  </x:si>
  <x:si>
    <x:t xml:space="preserve">F03</x:t>
  </x:si>
  <x:si>
    <x:t xml:space="preserve">途中机关和装置</x:t>
  </x:si>
  <x:si>
    <x:t xml:space="preserve">正式流程+规范建议</x:t>
  </x:si>
  <x:si>
    <x:t xml:space="preserve">按进入/穿越事件触发，避免每帧重复回调</x:t>
  </x:si>
  <x:si>
    <x:t xml:space="preserve">物理更新顺序、cm到场景单位待定</x:t>
  </x:si>
  <x:si>
    <x:t xml:space="preserve">D002–D007</x:t>
  </x:si>
  <x:si>
    <x:t xml:space="preserve">F04</x:t>
  </x:si>
  <x:si>
    <x:t xml:space="preserve">入普通得分口</x:t>
  </x:si>
  <x:si>
    <x:t xml:space="preserve">球价值×机器倍率×全局状态；消费球并累计得分，再进行一次RUSH检定</x:t>
  </x:si>
  <x:si>
    <x:t xml:space="preserve">新触发RUSH从下一次得分生效，避免本球自触发自享受倍率</x:t>
  </x:si>
  <x:si>
    <x:t xml:space="preserve">D005、M001、M002</x:t>
  </x:si>
  <x:si>
    <x:t xml:space="preserve">F05</x:t>
  </x:si>
  <x:si>
    <x:t xml:space="preserve">入赌狗装置</x:t>
  </x:si>
  <x:si>
    <x:t xml:space="preserve">球转筹码池，不同时进普通分；回合结算统一抽一次结果</x:t>
  </x:si>
  <x:si>
    <x:t xml:space="preserve">沿用原字典概率作测试，不将其视为正式流程固定值</x:t>
  </x:si>
  <x:si>
    <x:t xml:space="preserve">F06</x:t>
  </x:si>
  <x:si>
    <x:t xml:space="preserve">入银行或落底</x:t>
  </x:si>
  <x:si>
    <x:t xml:space="preserve">银行入金币后销毁；落底无收益销毁；一个球只能有一个终端出口</x:t>
  </x:si>
  <x:si>
    <x:t xml:space="preserve">银行收益是否失败局保留？建议局失败全部清空，需确认</x:t>
  </x:si>
  <x:si>
    <x:t xml:space="preserve">D001、M004</x:t>
  </x:si>
  <x:si>
    <x:t xml:space="preserve">F07</x:t>
  </x:si>
  <x:si>
    <x:t xml:space="preserve">主动提现或血量耗尽</x:t>
  </x:si>
  <x:si>
    <x:t xml:space="preserve">停止新发射，释放储存球，让在途球结算后再结算赌狗池</x:t>
  </x:si>
  <x:si>
    <x:t xml:space="preserve">是否允许在途清场待确认；建议30秒球寿命上限，暂停不计时</x:t>
  </x:si>
  <x:si>
    <x:t xml:space="preserve">D006、I003</x:t>
  </x:si>
  <x:si>
    <x:t xml:space="preserve">F08</x:t>
  </x:si>
  <x:si>
    <x:t xml:space="preserve">判定达标、越级、失败</x:t>
  </x:si>
  <x:si>
    <x:t xml:space="preserve">加入赌狗得分后比较当前与后续阶段目标，分别发达标/越级奖励或重开</x:t>
  </x:si>
  <x:si>
    <x:t xml:space="preserve">里程1000/2000/3000/4000/6000/10000仅示意，非已平衡门槛</x:t>
  </x:si>
  <x:si>
    <x:t xml:space="preserve">F09</x:t>
  </x:si>
  <x:si>
    <x:t xml:space="preserve">剩余血量提现</x:t>
  </x:si>
  <x:si>
    <x:t xml:space="preserve">金币=floor(k×sqrt(剩余血量)×CASHOUT_K_MOD)，只对成功主动提现发放</x:t>
  </x:si>
  <x:si>
    <x:t xml:space="preserve">流程k待调；字典BLOOD_DIVIDEND_RATE若沿用，应解释为k的修正而非线性兑换</x:t>
  </x:si>
  <x:si>
    <x:t xml:space="preserve">F10</x:t>
  </x:si>
  <x:si>
    <x:t xml:space="preserve">商店、布置、下一回合</x:t>
  </x:si>
  <x:si>
    <x:t xml:space="preserve">购买药物、装置、发射头、道具后布置；装置本次购买下一回合生效</x:t>
  </x:si>
  <x:si>
    <x:t xml:space="preserve">流程仍提发射头，但另处删除弹射装置；发射头范围待确认，本次不新增该类</x:t>
  </x:si>
  <x:si>
    <x:t xml:space="preserve">R01</x:t>
  </x:si>
  <x:si>
    <x:t xml:space="preserve">RUSH两种体系冲突</x:t>
  </x:si>
  <x:si>
    <x:t xml:space="preserve">待确认</x:t>
  </x:si>
  <x:si>
    <x:t xml:space="preserve">本版规范建议采用概率触发，保留原积累属性，不启用并行积累</x:t>
  </x:si>
  <x:si>
    <x:t xml:space="preserve">RUSH_GAIN_RATE、BALL_RUSH_GAIN、RUSH_DECAY不直接参与本版示例</x:t>
  </x:si>
  <x:si>
    <x:t xml:space="preserve">D005、M001</x:t>
  </x:si>
  <x:si>
    <x:t xml:space="preserve">R02</x:t>
  </x:si>
  <x:si>
    <x:t xml:space="preserve">RUSH概率与重触发</x:t>
  </x:si>
  <x:si>
    <x:t xml:space="preserve">规范建议</x:t>
  </x:si>
  <x:si>
    <x:t xml:space="preserve">先SET取较高值，再ADD，夹紧0至0.75；基础测试值0.25；已在RUSH时不重新检定</x:t>
  </x:si>
  <x:si>
    <x:t xml:space="preserve">同家族分裂后仅首次有效得分拥有一次检定资格；落底不检定</x:t>
  </x:si>
  <x:si>
    <x:t xml:space="preserve">D005、D007、M001</x:t>
  </x:si>
  <x:si>
    <x:t xml:space="preserve">R03</x:t>
  </x:si>
  <x:si>
    <x:t xml:space="preserve">药效时钟和持久性</x:t>
  </x:si>
  <x:si>
    <x:t xml:space="preserve">以有效游戏时间计时，暂停停表。只影响窗口内发射球，球上快照保留到结算</x:t>
  </x:si>
  <x:si>
    <x:t xml:space="preserve">同名再服用刷新为完整窗口，不累加时长；无效阶段使用不扣库存</x:t>
  </x:si>
  <x:si>
    <x:t xml:space="preserve">R04</x:t>
  </x:si>
  <x:si>
    <x:t xml:space="preserve">通用运算与分层</x:t>
  </x:si>
  <x:si>
    <x:t xml:space="preserve">沿用原字典逐属性Stack_Rule和Stack_Order；新概率字段使用R02规则</x:t>
  </x:si>
  <x:si>
    <x:t xml:space="preserve">球价值、机器倍率、RUSH状态分别计算，RUSH_MULT只进入GLOBAL_MULT一次</x:t>
  </x:si>
  <x:si>
    <x:t xml:space="preserve">全部效果</x:t>
  </x:si>
  <x:si>
    <x:t xml:space="preserve">R05</x:t>
  </x:si>
  <x:si>
    <x:t xml:space="preserve">分裂守恒及继承</x:t>
  </x:si>
  <x:si>
    <x:t xml:space="preserve">原表+规范建议</x:t>
  </x:si>
  <x:si>
    <x:t xml:space="preserve">子球价值总和等于母球，体积总和等于母球；生命截止时间、药物标记和已触发集合继承</x:t>
  </x:si>
  <x:si>
    <x:t xml:space="preserve">价值1到2之间若每子球最小1则不得分裂；原案仅明确价值1不分裂，此处补边界</x:t>
  </x:si>
  <x:si>
    <x:t xml:space="preserve">R06</x:t>
  </x:si>
  <x:si>
    <x:t xml:space="preserve">提现、失败与器官抵押</x:t>
  </x:si>
  <x:si>
    <x:t xml:space="preserve">流程待细化</x:t>
  </x:si>
  <x:si>
    <x:t xml:space="preserve">抵押替代直接卖器官，可在后续花金币赎回；本版暂不设计额外器官道具</x:t>
  </x:si>
  <x:si>
    <x:t xml:space="preserve">最大血量代价、赎回价格、失败清账、回合恢复顺序需先确认</x:t>
  </x:si>
  <x:si>
    <x:t xml:space="preserve">后续系统</x:t>
  </x:si>
  <x:si>
    <x:t xml:space="preserve">R07</x:t>
  </x:si>
  <x:si>
    <x:t xml:space="preserve">赌博期望冲突</x:t>
  </x:si>
  <x:si>
    <x:t xml:space="preserve">计算发现</x:t>
  </x:si>
  <x:si>
    <x:t xml:space="preserve">现有概率0.4/0.3/0.25/0.05、倍率0/1/2/5推得期望1.05</x:t>
  </x:si>
  <x:si>
    <x:t xml:space="preserve">原GAMBLE_BASE_EV为0.9，保留原值并在沙盘对照；勿同时使用两个权威数值</x:t>
  </x:si>
  <x:si>
    <x:t xml:space="preserve">属性字典第35至40行</x:t>
  </x:si>
  <x:si>
    <x:t xml:space="preserve">平衡沙盘</x:t>
  </x:si>
  <x:si>
    <x:t xml:space="preserve">黄色为独立试算输入；灰色链接原字典。沙盘不自动回写效果参数。</x:t>
  </x:si>
  <x:si>
    <x:t xml:space="preserve">测试项</x:t>
  </x:si>
  <x:si>
    <x:t xml:space="preserve">输入A</x:t>
  </x:si>
  <x:si>
    <x:t xml:space="preserve">输入B</x:t>
  </x:si>
  <x:si>
    <x:t xml:space="preserve">输入C</x:t>
  </x:si>
  <x:si>
    <x:t xml:space="preserve">计算结果</x:t>
  </x:si>
  <x:si>
    <x:t xml:space="preserve">单位或含义</x:t>
  </x:si>
  <x:si>
    <x:t xml:space="preserve">判定与用途</x:t>
  </x:si>
  <x:si>
    <x:t xml:space="preserve">银行换金</x:t>
  </x:si>
  <x:si>
    <x:t xml:space="preserve">价值、兑换系数、利率</x:t>
  </x:si>
  <x:si>
    <x:t xml:space="preserve">金币向下取整；不同时获得得分</x:t>
  </x:si>
  <x:si>
    <x:t xml:space="preserve">增幅最大收益</x:t>
  </x:si>
  <x:si>
    <x:t xml:space="preserve">初值、每次倍率、次数上限</x:t>
  </x:si>
  <x:si>
    <x:t xml:space="preserve">3次上限可防回流无限复利</x:t>
  </x:si>
  <x:si>
    <x:t xml:space="preserve">离心机限速</x:t>
  </x:si>
  <x:si>
    <x:t xml:space="preserve">入速度、速度增量、速度上限</x:t>
  </x:si>
  <x:si>
    <x:t xml:space="preserve">单位均为unit/s；C列并非物理加速度</x:t>
  </x:si>
  <x:si>
    <x:t xml:space="preserve">分裂两子球总价值</x:t>
  </x:si>
  <x:si>
    <x:t xml:space="preserve">母价值、单子保留率、子球数</x:t>
  </x:si>
  <x:si>
    <x:t xml:space="preserve">应等于输入A；小数价值内部保留</x:t>
  </x:si>
  <x:si>
    <x:t xml:space="preserve">主动提现</x:t>
  </x:si>
  <x:si>
    <x:t xml:space="preserve">剩血、k试算值、凭证倍率</x:t>
  </x:si>
  <x:si>
    <x:t xml:space="preserve">k=1仅沙盘假设；正向平方根提现</x:t>
  </x:si>
  <x:si>
    <x:t xml:space="preserve">节流阀价值血耗比</x:t>
  </x:si>
  <x:si>
    <x:t xml:space="preserve">价值系数、血耗系数、基准比</x:t>
  </x:si>
  <x:si>
    <x:t xml:space="preserve">相对效率，未计路径损失与门槛</x:t>
  </x:si>
  <x:si>
    <x:t xml:space="preserve">默认赌博期望</x:t>
  </x:si>
  <x:si>
    <x:t xml:space="preserve">返还概率、双倍概率、大奖概率</x:t>
  </x:si>
  <x:si>
    <x:t xml:space="preserve">倍率从原字典引用；原填期望在下一行对照</x:t>
  </x:si>
  <x:si>
    <x:t xml:space="preserve">止损票单次期望</x:t>
  </x:si>
  <x:si>
    <x:t xml:space="preserve">全损概率、损失返还率</x:t>
  </x:si>
  <x:si>
    <x:t xml:space="preserve">仅首次全损一次，不视为永久加成</x:t>
  </x:si>
  <x:si>
    <x:t xml:space="preserve">赌博概率合计</x:t>
  </x:si>
  <x:si>
    <x:t xml:space="preserve">引用原字典4种概率</x:t>
  </x:si>
  <x:si>
    <x:t xml:space="preserve">应为1，改变概率后先检查此项</x:t>
  </x:si>
</x:sst>
</file>

<file path=xl/styles.xml><?xml version="1.0" encoding="utf-8"?>
<x:styleSheet xmlns:x="http://schemas.openxmlformats.org/spreadsheetml/2006/main">
  <x:numFmts count="3">
    <x:numFmt numFmtId="178" formatCode="0.000"/>
    <x:numFmt numFmtId="179" formatCode="0.0%"/>
    <x:numFmt numFmtId="200" formatCode="0"/>
  </x:numFmts>
  <x:fonts count="17">
    <x:font>
      <x:sz val="11"/>
      <x:color theme="1"/>
      <x:name val="宋体"/>
    </x:font>
    <x:font>
      <x:b/>
      <x:sz val="15"/>
      <x:color rgb="FF622D3C"/>
      <x:name val="Microsoft YaHei"/>
    </x:font>
    <x:font>
      <x:b/>
      <x:sz val="10"/>
      <x:color rgb="FFFFFFFF"/>
      <x:name val="Microsoft YaHei"/>
    </x:font>
    <x:font>
      <x:sz val="10"/>
      <x:color rgb="FF242424"/>
      <x:name val="Microsoft YaHei"/>
    </x:font>
    <x:font>
      <x:sz val="11"/>
      <x:color rgb="FF242424"/>
      <x:name val="Microsoft YaHei"/>
    </x:font>
    <x:font>
      <x:sz val="11"/>
      <x:name val="Carlito"/>
    </x:font>
    <x:font>
      <x:sz val="10"/>
      <x:color rgb="FF241C20"/>
      <x:name val="Microsoft YaHei"/>
    </x:font>
    <x:font>
      <x:b/>
      <x:sz val="15"/>
      <x:color rgb="FF4B1728"/>
      <x:name val="Microsoft YaHei"/>
    </x:font>
    <x:font>
      <x:i/>
      <x:sz val="9"/>
      <x:color rgb="FF6F6268"/>
      <x:name val="Microsoft YaHei"/>
    </x:font>
    <x:font>
      <x:b/>
      <x:sz val="9"/>
      <x:color rgb="FF6F6268"/>
      <x:name val="Microsoft YaHei"/>
    </x:font>
    <x:font>
      <x:b/>
      <x:sz val="12"/>
      <x:color rgb="FFA51C36"/>
      <x:name val="Microsoft YaHei"/>
    </x:font>
    <x:font>
      <x:b/>
      <x:sz val="9"/>
      <x:color rgb="FFFFFFFF"/>
      <x:name val="Microsoft YaHei"/>
    </x:font>
    <x:font>
      <x:sz val="9"/>
      <x:name val="宋体"/>
    </x:font>
    <x:font>
      <x:b/>
      <x:sz val="16"/>
      <x:color rgb="FFFFFFFF"/>
      <x:name val="Microsoft YaHei"/>
    </x:font>
    <x:font>
      <x:sz val="10"/>
      <x:color rgb="FF5F1B25"/>
      <x:name val="Microsoft YaHei"/>
    </x:font>
    <x:font>
      <x:b/>
      <x:sz val="11"/>
      <x:color rgb="FFFFFFFF"/>
      <x:name val="Microsoft YaHei"/>
    </x:font>
    <x:font>
      <x:sz val="10"/>
      <x:color theme="1"/>
      <x:name val="Microsoft YaHei"/>
    </x:font>
  </x:fonts>
  <x:fills count="16">
    <x:fill>
      <x:patternFill patternType="none"/>
    </x:fill>
    <x:fill>
      <x:patternFill patternType="gray125"/>
    </x:fill>
    <x:fill>
      <x:patternFill patternType="solid">
        <x:fgColor rgb="FF622D3C"/>
      </x:patternFill>
    </x:fill>
    <x:fill>
      <x:patternFill patternType="solid">
        <x:fgColor rgb="FFFFF3CC"/>
      </x:patternFill>
    </x:fill>
    <x:fill>
      <x:patternFill patternType="solid">
        <x:fgColor rgb="FFF6ECEF"/>
      </x:patternFill>
    </x:fill>
    <x:fill>
      <x:patternFill patternType="solid">
        <x:fgColor rgb="FFEAEAEA"/>
      </x:patternFill>
    </x:fill>
    <x:fill>
      <x:patternFill patternType="solid">
        <x:fgColor rgb="FFFFFFFF"/>
      </x:patternFill>
    </x:fill>
    <x:fill>
      <x:patternFill patternType="solid">
        <x:fgColor theme="4" tint="0.79998"/>
      </x:patternFill>
    </x:fill>
    <x:fill>
      <x:patternFill patternType="solid">
        <x:fgColor theme="4" tint="0.79998"/>
      </x:patternFill>
    </x:fill>
    <x:fill>
      <x:patternFill patternType="solid">
        <x:fgColor rgb="FFF3EFF1"/>
      </x:patternFill>
    </x:fill>
    <x:fill>
      <x:patternFill patternType="solid">
        <x:fgColor rgb="FF4B1728"/>
      </x:patternFill>
    </x:fill>
    <x:fill>
      <x:patternFill patternType="solid">
        <x:fgColor rgb="FFFFF4CC"/>
      </x:patternFill>
    </x:fill>
    <x:fill>
      <x:patternFill patternType="solid">
        <x:fgColor rgb="FFDDEBF7"/>
      </x:patternFill>
    </x:fill>
    <x:fill>
      <x:patternFill patternType="solid">
        <x:fgColor rgb="FF7A1F2B"/>
      </x:patternFill>
    </x:fill>
    <x:fill>
      <x:patternFill patternType="solid">
        <x:fgColor rgb="FFF4E6E8"/>
      </x:patternFill>
    </x:fill>
    <x:fill>
      <x:patternFill patternType="solid">
        <x:fgColor rgb="FF2F3E46"/>
      </x:patternFill>
    </x:fill>
  </x:fills>
  <x:borders count="16">
    <x:border/>
    <x:border>
      <x:bottom style="medium">
        <x:color rgb="FFA51C36"/>
      </x:bottom>
    </x:border>
    <x:border>
      <x:bottom style="thin">
        <x:color rgb="FFE7C9D2"/>
      </x:bottom>
    </x:border>
    <x:border>
      <x:right style="thin">
        <x:color rgb="FFFFFFFF"/>
      </x:right>
      <x:bottom style="medium">
        <x:color rgb="FFA51C36"/>
      </x:bottom>
    </x:border>
    <x:border>
      <x:left style="thin">
        <x:color rgb="FFFFFFFF"/>
      </x:left>
      <x:right style="thin">
        <x:color rgb="FFFFFFFF"/>
      </x:right>
      <x:bottom style="medium">
        <x:color rgb="FFA51C36"/>
      </x:bottom>
    </x:border>
    <x:border>
      <x:left style="thin">
        <x:color rgb="FFFFFFFF"/>
      </x:left>
      <x:bottom style="medium">
        <x:color rgb="FFA51C36"/>
      </x:bottom>
    </x:border>
    <x:border>
      <x:left style="thin">
        <x:color rgb="FFD8CDD1"/>
      </x:left>
      <x:top style="thin">
        <x:color rgb="FFD8CDD1"/>
      </x:top>
    </x:border>
    <x:border>
      <x:right style="thin">
        <x:color rgb="FFD8CDD1"/>
      </x:right>
      <x:top style="thin">
        <x:color rgb="FFD8CDD1"/>
      </x:top>
    </x:border>
    <x:border>
      <x:bottom style="hair">
        <x:color rgb="FFD8CDD1"/>
      </x:bottom>
    </x:border>
    <x:border>
      <x:left style="thin">
        <x:color rgb="FFD8CDD1"/>
      </x:left>
    </x:border>
    <x:border>
      <x:right style="thin">
        <x:color rgb="FFD8CDD1"/>
      </x:right>
    </x:border>
    <x:border>
      <x:top style="hair">
        <x:color rgb="FFD8CDD1"/>
      </x:top>
      <x:bottom style="hair">
        <x:color rgb="FFD8CDD1"/>
      </x:bottom>
    </x:border>
    <x:border>
      <x:left style="thin">
        <x:color rgb="FFD8CDD1"/>
      </x:left>
      <x:bottom style="thin">
        <x:color rgb="FFD8CDD1"/>
      </x:bottom>
    </x:border>
    <x:border>
      <x:right style="thin">
        <x:color rgb="FFD8CDD1"/>
      </x:right>
      <x:bottom style="thin">
        <x:color rgb="FFD8CDD1"/>
      </x:bottom>
    </x:border>
    <x:border>
      <x:top style="hair">
        <x:color rgb="FFD8CDD1"/>
      </x:top>
      <x:bottom style="thin">
        <x:color rgb="FFD8CDD1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2">
    <x:xf numFmtId="0" fontId="0" fillId="0" borderId="0">
      <x:alignment vertical="center"/>
    </x:xf>
    <x:xf numFmtId="0" fontId="5" fillId="0" borderId="0"/>
  </x:cellStyleXfs>
  <x:cellXfs count="72">
    <x:xf numFmtId="0" fontId="0" fillId="0" borderId="0" xfId="0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178" fontId="3" fillId="3" borderId="0" xfId="0" applyNumberFormat="1" applyFont="1" applyFill="1" applyBorder="1" applyAlignment="1">
      <x:alignment vertical="top" wrapText="1"/>
    </x:xf>
    <x:xf numFmtId="178" fontId="3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178" fontId="3" fillId="4" borderId="0" xfId="0" applyNumberFormat="1" applyFont="1" applyFill="1" applyBorder="1" applyAlignment="1">
      <x:alignment vertical="top" wrapText="1"/>
    </x:xf>
    <x:xf numFmtId="179" fontId="3" fillId="0" borderId="0" xfId="0" applyNumberFormat="1" applyFont="1" applyFill="1" applyBorder="1" applyAlignment="1">
      <x:alignment vertical="top" wrapText="1"/>
    </x:xf>
    <x:xf numFmtId="179" fontId="3" fillId="4" borderId="0" xfId="0" applyNumberFormat="1" applyFont="1" applyFill="1" applyBorder="1" applyAlignment="1">
      <x:alignment vertical="top" wrapText="1"/>
    </x:xf>
    <x:xf numFmtId="178" fontId="3" fillId="5" borderId="0" xfId="0" applyNumberFormat="1" applyFont="1" applyFill="1" applyBorder="1" applyAlignment="1">
      <x:alignment vertical="top" wrapText="1"/>
    </x:xf>
    <x:xf numFmtId="178" fontId="3" fillId="6" borderId="0" xfId="0" applyNumberFormat="1" applyFont="1" applyFill="1" applyBorder="1" applyAlignment="1">
      <x:alignment vertical="top" wrapText="1"/>
    </x:xf>
    <x:xf numFmtId="2" fontId="3" fillId="0" borderId="0" xfId="0" applyNumberFormat="1" applyFont="1" applyFill="1" applyBorder="1" applyAlignment="1">
      <x:alignment vertical="top" wrapText="1"/>
    </x:xf>
    <x:xf numFmtId="2" fontId="3" fillId="4" borderId="0" xfId="0" applyNumberFormat="1" applyFont="1" applyFill="1" applyBorder="1" applyAlignment="1">
      <x:alignment vertical="top" wrapText="1"/>
    </x:xf>
    <x:xf numFmtId="0" fontId="0" fillId="0" borderId="0" xfId="0" applyFill="1" applyAlignment="1">
      <x:alignment vertical="center"/>
    </x:xf>
    <x:xf numFmtId="0" fontId="0" fillId="0" borderId="0" xfId="0" applyFont="1" applyFill="1" applyAlignment="1">
      <x:alignment vertical="center"/>
    </x:xf>
    <x:xf numFmtId="0" fontId="0" fillId="7" borderId="0" xfId="0" applyFill="1" applyAlignment="1">
      <x:alignment vertical="center"/>
    </x:xf>
    <x:xf numFmtId="0" fontId="0" fillId="0" borderId="0" xfId="0" applyFill="1" applyAlignment="1">
      <x:alignment vertical="center"/>
    </x:xf>
    <x:xf numFmtId="0" fontId="0" fillId="8" borderId="0" xfId="0" applyFill="1" applyAlignment="1">
      <x:alignment vertical="center"/>
    </x:xf>
    <x:xf numFmtId="0" fontId="3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0" fillId="0" borderId="0" xfId="0" applyAlignment="1">
      <x:alignment vertical="top"/>
    </x:xf>
    <x:xf numFmtId="0" fontId="0" fillId="0" borderId="0" xfId="0" applyAlignment="1">
      <x:alignment vertical="top" wrapText="1"/>
    </x:xf>
    <x:xf numFmtId="0" fontId="5" fillId="0" borderId="0" xfId="1"/>
    <x:xf numFmtId="0" fontId="6" fillId="0" borderId="0" xfId="1" applyNumberFormat="1" applyFont="1" applyFill="1" applyBorder="1" applyAlignment="1">
      <x:alignment vertical="center"/>
    </x:xf>
    <x:xf numFmtId="0" fontId="7" fillId="0" borderId="1" xfId="1" applyNumberFormat="1" applyFont="1" applyFill="1" applyBorder="1" applyAlignment="1">
      <x:alignment vertical="center"/>
    </x:xf>
    <x:xf numFmtId="0" fontId="6" fillId="0" borderId="1" xfId="1" applyNumberFormat="1" applyFont="1" applyFill="1" applyBorder="1" applyAlignment="1">
      <x:alignment vertical="center"/>
    </x:xf>
    <x:xf numFmtId="0" fontId="8" fillId="0" borderId="0" xfId="1" applyNumberFormat="1" applyFont="1" applyFill="1" applyBorder="1" applyAlignment="1">
      <x:alignment vertical="center"/>
    </x:xf>
    <x:xf numFmtId="0" fontId="9" fillId="9" borderId="0" xfId="1" applyNumberFormat="1" applyFont="1" applyFill="1" applyBorder="1" applyAlignment="1">
      <x:alignment horizontal="left" vertical="center"/>
    </x:xf>
    <x:xf numFmtId="0" fontId="10" fillId="6" borderId="2" xfId="1" applyNumberFormat="1" applyFont="1" applyFill="1" applyBorder="1" applyAlignment="1">
      <x:alignment horizontal="center" vertical="center"/>
    </x:xf>
    <x:xf numFmtId="0" fontId="11" fillId="10" borderId="0" xfId="1" applyNumberFormat="1" applyFont="1" applyFill="1" applyBorder="1" applyAlignment="1">
      <x:alignment horizontal="center" vertical="center"/>
    </x:xf>
    <x:xf numFmtId="0" fontId="11" fillId="10" borderId="3" xfId="1" applyNumberFormat="1" applyFont="1" applyFill="1" applyBorder="1" applyAlignment="1">
      <x:alignment horizontal="center" vertical="center" wrapText="1"/>
    </x:xf>
    <x:xf numFmtId="0" fontId="11" fillId="10" borderId="4" xfId="1" applyNumberFormat="1" applyFont="1" applyFill="1" applyBorder="1" applyAlignment="1">
      <x:alignment horizontal="center" vertical="center" wrapText="1"/>
    </x:xf>
    <x:xf numFmtId="0" fontId="11" fillId="10" borderId="5" xfId="1" applyNumberFormat="1" applyFont="1" applyFill="1" applyBorder="1" applyAlignment="1">
      <x:alignment horizontal="center" vertical="center" wrapText="1"/>
    </x:xf>
    <x:xf numFmtId="0" fontId="6" fillId="0" borderId="0" xfId="1" applyNumberFormat="1" applyFont="1" applyFill="1" applyBorder="1" applyAlignment="1">
      <x:alignment horizontal="center" vertical="center"/>
    </x:xf>
    <x:xf numFmtId="0" fontId="6" fillId="9" borderId="6" xfId="1" applyNumberFormat="1" applyFont="1" applyFill="1" applyBorder="1" applyAlignment="1">
      <x:alignment horizontal="center" vertical="center"/>
    </x:xf>
    <x:xf numFmtId="0" fontId="6" fillId="9" borderId="7" xfId="1" applyNumberFormat="1" applyFont="1" applyFill="1" applyBorder="1" applyAlignment="1">
      <x:alignment horizontal="center" vertical="center"/>
    </x:xf>
    <x:xf numFmtId="0" fontId="6" fillId="11" borderId="8" xfId="1" applyNumberFormat="1" applyFont="1" applyFill="1" applyBorder="1" applyAlignment="1">
      <x:alignment horizontal="left" vertical="center"/>
    </x:xf>
    <x:xf numFmtId="0" fontId="6" fillId="11" borderId="8" xfId="1" applyNumberFormat="1" applyFont="1" applyFill="1" applyBorder="1" applyAlignment="1">
      <x:alignment vertical="center"/>
    </x:xf>
    <x:xf numFmtId="2" fontId="6" fillId="11" borderId="8" xfId="1" applyNumberFormat="1" applyFont="1" applyFill="1" applyBorder="1" applyAlignment="1">
      <x:alignment vertical="center"/>
    </x:xf>
    <x:xf numFmtId="0" fontId="6" fillId="11" borderId="8" xfId="1" applyNumberFormat="1" applyFont="1" applyFill="1" applyBorder="1" applyAlignment="1">
      <x:alignment vertical="center" wrapText="1"/>
    </x:xf>
    <x:xf numFmtId="0" fontId="6" fillId="12" borderId="8" xfId="1" applyNumberFormat="1" applyFont="1" applyFill="1" applyBorder="1" applyAlignment="1">
      <x:alignment vertical="center"/>
    </x:xf>
    <x:xf numFmtId="0" fontId="6" fillId="11" borderId="9" xfId="1" applyNumberFormat="1" applyFont="1" applyFill="1" applyBorder="1" applyAlignment="1">
      <x:alignment vertical="center"/>
    </x:xf>
    <x:xf numFmtId="1" fontId="6" fillId="11" borderId="10" xfId="1" applyNumberFormat="1" applyFont="1" applyFill="1" applyBorder="1" applyAlignment="1">
      <x:alignment vertical="center"/>
    </x:xf>
    <x:xf numFmtId="0" fontId="6" fillId="11" borderId="11" xfId="1" applyNumberFormat="1" applyFont="1" applyFill="1" applyBorder="1" applyAlignment="1">
      <x:alignment horizontal="left" vertical="center"/>
    </x:xf>
    <x:xf numFmtId="0" fontId="6" fillId="11" borderId="11" xfId="1" applyNumberFormat="1" applyFont="1" applyFill="1" applyBorder="1" applyAlignment="1">
      <x:alignment vertical="center"/>
    </x:xf>
    <x:xf numFmtId="2" fontId="6" fillId="11" borderId="11" xfId="1" applyNumberFormat="1" applyFont="1" applyFill="1" applyBorder="1" applyAlignment="1">
      <x:alignment vertical="center"/>
    </x:xf>
    <x:xf numFmtId="0" fontId="6" fillId="11" borderId="11" xfId="1" applyNumberFormat="1" applyFont="1" applyFill="1" applyBorder="1" applyAlignment="1">
      <x:alignment vertical="center" wrapText="1"/>
    </x:xf>
    <x:xf numFmtId="0" fontId="6" fillId="12" borderId="11" xfId="1" applyNumberFormat="1" applyFont="1" applyFill="1" applyBorder="1" applyAlignment="1">
      <x:alignment vertical="center"/>
    </x:xf>
    <x:xf numFmtId="0" fontId="6" fillId="11" borderId="12" xfId="1" applyNumberFormat="1" applyFont="1" applyFill="1" applyBorder="1" applyAlignment="1">
      <x:alignment vertical="center"/>
    </x:xf>
    <x:xf numFmtId="1" fontId="6" fillId="11" borderId="13" xfId="1" applyNumberFormat="1" applyFont="1" applyFill="1" applyBorder="1" applyAlignment="1">
      <x:alignment vertical="center"/>
    </x:xf>
    <x:xf numFmtId="0" fontId="6" fillId="11" borderId="14" xfId="1" applyNumberFormat="1" applyFont="1" applyFill="1" applyBorder="1" applyAlignment="1">
      <x:alignment horizontal="left" vertical="center"/>
    </x:xf>
    <x:xf numFmtId="0" fontId="6" fillId="11" borderId="14" xfId="1" applyNumberFormat="1" applyFont="1" applyFill="1" applyBorder="1" applyAlignment="1">
      <x:alignment vertical="center"/>
    </x:xf>
    <x:xf numFmtId="2" fontId="6" fillId="11" borderId="14" xfId="1" applyNumberFormat="1" applyFont="1" applyFill="1" applyBorder="1" applyAlignment="1">
      <x:alignment vertical="center"/>
    </x:xf>
    <x:xf numFmtId="0" fontId="6" fillId="11" borderId="14" xfId="1" applyNumberFormat="1" applyFont="1" applyFill="1" applyBorder="1" applyAlignment="1">
      <x:alignment vertical="center" wrapText="1"/>
    </x:xf>
    <x:xf numFmtId="0" fontId="6" fillId="12" borderId="14" xfId="1" applyNumberFormat="1" applyFont="1" applyFill="1" applyBorder="1" applyAlignment="1">
      <x:alignment vertical="center"/>
    </x:xf>
    <x:xf numFmtId="0" fontId="0" fillId="13" borderId="0" xfId="0" applyNumberFormat="1" applyFont="1" applyFill="1" applyBorder="1" applyAlignment="1">
      <x:alignment vertical="center"/>
    </x:xf>
    <x:xf numFmtId="0" fontId="13" fillId="13" borderId="0" xfId="0" applyNumberFormat="1" applyFont="1" applyFill="1" applyBorder="1" applyAlignment="1">
      <x:alignment vertical="center"/>
    </x:xf>
    <x:xf numFmtId="0" fontId="13" fillId="13" borderId="0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 applyAlignment="1">
      <x:alignment vertical="center"/>
    </x:xf>
    <x:xf numFmtId="0" fontId="14" fillId="14" borderId="0" xfId="0" applyNumberFormat="1" applyFont="1" applyFill="1" applyBorder="1" applyAlignment="1">
      <x:alignment vertical="center"/>
    </x:xf>
    <x:xf numFmtId="0" fontId="14" fillId="14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vertical="center"/>
    </x:xf>
    <x:xf numFmtId="0" fontId="15" fillId="15" borderId="0" xfId="0" applyNumberFormat="1" applyFont="1" applyFill="1" applyBorder="1" applyAlignment="1">
      <x:alignment vertical="center"/>
    </x:xf>
    <x:xf numFmtId="0" fontId="15" fillId="15" borderId="0" xfId="0" applyNumberFormat="1" applyFont="1" applyFill="1" applyBorder="1" applyAlignment="1">
      <x:alignment vertical="center" wrapText="1"/>
    </x:xf>
    <x:xf numFmtId="0" fontId="15" fillId="15" borderId="0" xfId="0" applyNumberFormat="1" applyFont="1" applyFill="1" applyBorder="1" applyAlignment="1">
      <x:alignment horizontal="center" vertical="center" wrapText="1"/>
    </x:xf>
    <x:xf numFmtId="0" fontId="16" fillId="0" borderId="0" xfId="0" applyNumberFormat="1" applyFont="1" applyFill="1" applyBorder="1" applyAlignment="1">
      <x:alignment vertical="center"/>
    </x:xf>
    <x:xf numFmtId="0" fontId="16" fillId="0" borderId="15" xfId="0" applyNumberFormat="1" applyFont="1" applyFill="1" applyBorder="1" applyAlignment="1">
      <x:alignment vertical="center"/>
    </x:xf>
    <x:xf numFmtId="0" fontId="16" fillId="0" borderId="15" xfId="0" applyNumberFormat="1" applyFont="1" applyFill="1" applyBorder="1" applyAlignment="1">
      <x:alignment vertical="center" wrapText="1"/>
    </x:xf>
    <x:xf numFmtId="200" fontId="16" fillId="0" borderId="15" xfId="0" applyNumberFormat="1" applyFont="1" applyFill="1" applyBorder="1" applyAlignment="1">
      <x:alignment vertical="center" wrapText="1"/>
    </x:xf>
  </x:cellXfs>
  <x:cellStyles count="2">
    <x:cellStyle name="Normal" xfId="1"/>
    <x:cellStyle name="常规" xfId="0"/>
  </x:cellStyles>
  <x:dxfs count="77">
    <x:dxf>
      <x:font>
        <x:b/>
        <x:color rgb="FF9C1C2D"/>
      </x:font>
      <x:fill>
        <x:patternFill>
          <x:bgColor rgb="FFFCE4E4"/>
        </x:patternFill>
      </x:fill>
    </x:dxf>
    <x:dxf>
      <x:font>
        <x:color rgb="FF9B1C1C"/>
      </x:font>
      <x:fill>
        <x:patternFill>
          <x:bgColor rgb="FFFCE1DC"/>
        </x:patternFill>
      </x:fill>
    </x:dxf>
    <x:dxf>
      <x:font>
        <x:color rgb="FF376A2D"/>
      </x:font>
      <x:fill>
        <x:patternFill>
          <x:bgColor rgb="FFE2F0D9"/>
        </x:patternFill>
      </x:fill>
    </x:dxf>
    <x:dxf>
      <x:font>
        <x:b/>
        <x:color rgb="FF9C1C2D"/>
      </x:font>
      <x:fill>
        <x:patternFill>
          <x:bgColor rgb="FFFCE4E4"/>
        </x:patternFill>
      </x:fill>
    </x:dxf>
    <x:dxf>
      <x:font>
        <x:i/>
        <x:color rgb="FF666666"/>
      </x:font>
      <x:fill>
        <x:patternFill>
          <x:bgColor rgb="FFE7E6E6"/>
        </x:patternFill>
      </x:fill>
    </x:dxf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851f9c41fc4f81" /><Relationship Type="http://schemas.openxmlformats.org/officeDocument/2006/relationships/theme" Target="/xl/theme/theme1.xml" Id="R05b584a8defa44b6" /><Relationship Type="http://schemas.openxmlformats.org/officeDocument/2006/relationships/sharedStrings" Target="/xl/sharedStrings.xml" Id="R6ecbd4563cf646df" /><Relationship Type="http://schemas.openxmlformats.org/officeDocument/2006/relationships/worksheet" Target="/xl/worksheets/sheet1.xml" Id="Rc1500b7faa3e41a1" /><Relationship Type="http://schemas.openxmlformats.org/officeDocument/2006/relationships/worksheet" Target="/xl/worksheets/sheet2.xml" Id="R691dae1ba1a54bf1" /><Relationship Type="http://schemas.openxmlformats.org/officeDocument/2006/relationships/worksheet" Target="/xl/worksheets/sheet3.xml" Id="R98a626804d2e40b1" /><Relationship Type="http://schemas.openxmlformats.org/officeDocument/2006/relationships/worksheet" Target="/xl/worksheets/sheet4.xml" Id="R73614f3a74604a73" /><Relationship Type="http://schemas.openxmlformats.org/officeDocument/2006/relationships/worksheet" Target="/xl/worksheets/sheet5.xml" Id="Rdbb1785ccdba4450" /><Relationship Type="http://schemas.openxmlformats.org/officeDocument/2006/relationships/worksheet" Target="/xl/worksheets/sheet6.xml" Id="Rcf93096986d446bc" /><Relationship Type="http://schemas.openxmlformats.org/officeDocument/2006/relationships/worksheet" Target="/xl/worksheets/sheet7.xml" Id="R3d4ab88af7d948a4" /><Relationship Type="http://schemas.openxmlformats.org/officeDocument/2006/relationships/worksheet" Target="/xl/worksheets/sheet8.xml" Id="R3558f73d4cae4217" /></Relationships>
</file>

<file path=xl/tables/table1.xml><?xml version="1.0" encoding="utf-8"?>
<x:table xmlns:x="http://schemas.openxmlformats.org/spreadsheetml/2006/main" id="1" name="AttributeDictionaryTable_6" displayName="AttributeDictionaryTable_6" ref="A6:U98" totalsRowShown="0">
  <x:autoFilter ref="A6:U98"/>
  <x:tableColumns count="21">
    <x:tableColumn id="1" name="Attribute_ID"/>
    <x:tableColumn id="2" name="Display_Name_CN"/>
    <x:tableColumn id="3" name="Display_Name_EN"/>
    <x:tableColumn id="4" name="Category"/>
    <x:tableColumn id="5" name="Unit"/>
    <x:tableColumn id="6" name="Default_Value"/>
    <x:tableColumn id="7" name="Min_Value"/>
    <x:tableColumn id="8" name="Max_Value"/>
    <x:tableColumn id="9" name="Allowed_Operators"/>
    <x:tableColumn id="10" name="Stack_Rule"/>
    <x:tableColumn id="11" name="Applies_To"/>
    <x:tableColumn id="12" name="Stack_Order"/>
    <x:tableColumn id="13" name="Designer_Range"/>
    <x:tableColumn id="14" name="Warning_Value"/>
    <x:tableColumn id="15" name="Formula_or_Rule"/>
    <x:tableColumn id="16" name="Debug_Name"/>
    <x:tableColumn id="17" name="Deprecated"/>
    <x:tableColumn id="18" name="Description"/>
    <x:tableColumn id="19" name="Design_Note"/>
    <x:tableColumn id="20" name="Data_Status"/>
    <x:tableColumn id="21" name="Range_Check">
      <x:calculatedColumnFormula>IF(A7="","",IF(OR(AND(G7&lt;&gt;"",F7&lt;G7),AND(H7&lt;&gt;"",F7&gt;H7)),"检查范围","正常"))</x:calculatedColumnFormula>
    </x:tableColumn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1" displayName="T1_" ref="A4:S37" totalsRowShown="0">
  <x:tableColumns count="19">
    <x:tableColumn id="1" name="设计ID" dataDxfId="59"/>
    <x:tableColumn id="2" name="规范名称" dataDxfId="58"/>
    <x:tableColumn id="3" name="大类" dataDxfId="57"/>
    <x:tableColumn id="4" name="子类" dataDxfId="56"/>
    <x:tableColumn id="5" name="内容来源" dataDxfId="55"/>
    <x:tableColumn id="6" name="原表定位" dataDxfId="54"/>
    <x:tableColumn id="7" name="原始构思（原文保留）" dataDxfId="53"/>
    <x:tableColumn id="8" name="规范效果" dataDxfId="52"/>
    <x:tableColumn id="9" name="触发事件" dataDxfId="51"/>
    <x:tableColumn id="10" name="作用目标" dataDxfId="50"/>
    <x:tableColumn id="11" name="持续口径" dataDxfId="49"/>
    <x:tableColumn id="12" name="终止条件" dataDxfId="48"/>
    <x:tableColumn id="13" name="叠加与次数规则" dataDxfId="47"/>
    <x:tableColumn id="14" name="建议稀有度" dataDxfId="46"/>
    <x:tableColumn id="15" name="代价或负面效果" dataDxfId="45"/>
    <x:tableColumn id="16" name="平衡备注" dataDxfId="44"/>
    <x:tableColumn id="17" name="实现备注" dataDxfId="43"/>
    <x:tableColumn id="18" name="开发优先级" dataDxfId="42"/>
    <x:tableColumn id="19" name="状态" dataDxfId="41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2" displayName="T2_" ref="A4:N39" totalsRowShown="0">
  <x:tableColumns count="14">
    <x:tableColumn id="1" name="效果ID" dataDxfId="40"/>
    <x:tableColumn id="2" name="设计ID" dataDxfId="39"/>
    <x:tableColumn id="3" name="Attribute_ID" dataDxfId="38"/>
    <x:tableColumn id="4" name="运算" dataDxfId="37"/>
    <x:tableColumn id="5" name="数值" dataDxfId="36"/>
    <x:tableColumn id="6" name="单位" dataDxfId="35"/>
    <x:tableColumn id="7" name="触发事件" dataDxfId="34"/>
    <x:tableColumn id="8" name="作用域" dataDxfId="33"/>
    <x:tableColumn id="9" name="时长值" dataDxfId="32"/>
    <x:tableColumn id="10" name="时长单位" dataDxfId="31"/>
    <x:tableColumn id="11" name="冷却秒" dataDxfId="30"/>
    <x:tableColumn id="12" name="触发或层数上限" dataDxfId="29"/>
    <x:tableColumn id="13" name="依据" dataDxfId="28"/>
    <x:tableColumn id="14" name="参数说明" dataDxfId="27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3" displayName="T3_" ref="A4:D21" totalsRowShown="0">
  <x:tableColumns count="4">
    <x:tableColumn id="1" name="Attribute_ID" dataDxfId="26"/>
    <x:tableColumn id="2" name="单位" dataDxfId="25"/>
    <x:tableColumn id="3" name="定义及作用域" dataDxfId="24"/>
    <x:tableColumn id="4" name="状态" dataDxfId="23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4" displayName="T4_" ref="A4:E13" totalsRowShown="0">
  <x:tableColumns count="5">
    <x:tableColumn id="1" name="主题" dataDxfId="22"/>
    <x:tableColumn id="2" name="分项" dataDxfId="21"/>
    <x:tableColumn id="3" name="关联" dataDxfId="20"/>
    <x:tableColumn id="4" name="设计方向或说明" dataDxfId="19"/>
    <x:tableColumn id="5" name="约束" dataDxfId="18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5" displayName="T5_" ref="A4:F21" totalsRowShown="0">
  <x:tableColumns count="6">
    <x:tableColumn id="1" name="规则ID" dataDxfId="17"/>
    <x:tableColumn id="2" name="环节" dataDxfId="16"/>
    <x:tableColumn id="3" name="依据级别" dataDxfId="15"/>
    <x:tableColumn id="4" name="规范规则" dataDxfId="14"/>
    <x:tableColumn id="5" name="待确认或边界" dataDxfId="13"/>
    <x:tableColumn id="6" name="关联设计" dataDxfId="12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6" displayName="T6_" ref="A4:G17" totalsRowShown="0">
  <x:tableColumns count="7">
    <x:tableColumn id="1" name="测试项" dataDxfId="11"/>
    <x:tableColumn id="2" name="输入A" dataDxfId="10"/>
    <x:tableColumn id="3" name="输入B" dataDxfId="9"/>
    <x:tableColumn id="4" name="输入C" dataDxfId="8"/>
    <x:tableColumn id="5" name="计算结果" dataDxfId="7">
      <x:calculatedColumnFormula>SUM('00_ATTRIBUTE_DICTIONARY (2)'!F22:F25)</x:calculatedColumnFormula>
    </x:tableColumn>
    <x:tableColumn id="6" name="单位或含义" dataDxfId="6"/>
    <x:tableColumn id="7" name="判定与用途" dataDxfId="5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untimeBalanceTable" displayName="RuntimeBalanceTable" ref="A4:M31" headerRowCount="1" totalsRowCount="0" totalsRowShown="0">
  <x:tableColumns count="13">
    <x:tableColumn id="1" name="类别"/>
    <x:tableColumn id="2" name="Runtime ID"/>
    <x:tableColumn id="3" name="Source ID"/>
    <x:tableColumn id="4" name="名称"/>
    <x:tableColumn id="5" name="价格"/>
    <x:tableColumn id="6" name="当前核心效果"/>
    <x:tableColumn id="7" name="持续秒"/>
    <x:tableColumn id="8" name="可叠加"/>
    <x:tableColumn id="9" name="证据等级"/>
    <x:tableColumn id="10" name="旧值"/>
    <x:tableColumn id="11" name="新值"/>
    <x:tableColumn id="12" name="变化"/>
    <x:tableColumn id="13" name="调整原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04c9d0c6154b5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0c2a2999d6c48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d04be78e95f47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9a941a98655471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14d729b069449e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dd15d007ac44b9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879625eb53d424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26dd2eeb23541f4" /></Relationships>
</file>

<file path=xl/worksheets/sheet1.xml><?xml version="1.0" encoding="utf-8"?>
<x:worksheet xmlns:x="http://schemas.openxmlformats.org/spreadsheetml/2006/main">
  <x:sheetPr>
    <x:tabColor rgb="FF4B1728"/>
  </x:sheetPr>
  <x:sheetViews>
    <x:sheetView showGridLines="0" workbookViewId="0">
      <x:pane xSplit="2" ySplit="6" topLeftCell="C7" activePane="bottomRight" state="frozen"/>
    </x:sheetView>
  </x:sheetViews>
  <x:sheetFormatPr defaultColWidth="9.81640625" defaultRowHeight="14"/>
  <x:cols>
    <x:col min="1" max="1" width="25.08984375" style="25" customWidth="1"/>
    <x:col min="2" max="2" width="28.453125" style="25" customWidth="1"/>
    <x:col min="3" max="3" width="24" style="25" customWidth="1"/>
    <x:col min="4" max="4" width="15.26953125" style="25" customWidth="1"/>
    <x:col min="5" max="5" width="10.90625" style="25" customWidth="1"/>
    <x:col min="6" max="6" width="14.1796875" style="25" customWidth="1"/>
    <x:col min="7" max="8" width="12" style="25" customWidth="1"/>
    <x:col min="9" max="9" width="24" style="25" customWidth="1"/>
    <x:col min="10" max="11" width="21.81640625" style="25" customWidth="1"/>
    <x:col min="12" max="12" width="12" style="25" customWidth="1"/>
    <x:col min="13" max="13" width="19.6328125" style="25" customWidth="1"/>
    <x:col min="14" max="14" width="14.1796875" style="25" customWidth="1"/>
    <x:col min="15" max="15" width="32.7265625" style="25" customWidth="1"/>
    <x:col min="16" max="16" width="27.26953125" style="25" customWidth="1"/>
    <x:col min="17" max="17" width="13.08984375" style="25" customWidth="1"/>
    <x:col min="18" max="18" width="37.08984375" style="25" customWidth="1"/>
    <x:col min="19" max="19" width="32.7265625" style="25" customWidth="1"/>
    <x:col min="20" max="20" width="14.1796875" style="25" customWidth="1"/>
    <x:col min="21" max="21" width="15.26953125" style="25" customWidth="1"/>
    <x:col min="22" max="22" width="3.26953125" style="25" customWidth="1"/>
    <x:col min="23" max="23" width="16.36328125" style="25" customWidth="1"/>
    <x:col min="24" max="24" width="17.453125" style="25" customWidth="1"/>
    <x:col min="25" max="16384" width="9.81640625" style="25" customWidth="0"/>
  </x:cols>
  <x:sheetData>
    <x:row r="1" ht="14.5">
      <x:c r="A1" s="26"/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</x:row>
    <x:row r="2" ht="21.5">
      <x:c r="A2" s="27" t="s">
        <x:v>0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</x:row>
    <x:row r="3" ht="20" customHeight="1">
      <x:c r="A3" s="29" t="s">
        <x:v>1</x:v>
      </x:c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</x:row>
    <x:row r="4" ht="16.5">
      <x:c r="A4" s="30" t="s">
        <x:v>2</x:v>
      </x:c>
      <x:c r="B4" s="31" t="n">
        <x:f>COUNTA(A7:A98)</x:f>
        <x:v>33</x:v>
      </x:c>
      <x:c r="C4" s="26"/>
      <x:c r="D4" s="30" t="s">
        <x:v>3</x:v>
      </x:c>
      <x:c r="E4" s="31" t="n">
        <x:f>COUNTIF(Q7:Q98,"Yes")</x:f>
        <x:v>0</x:v>
      </x:c>
      <x:c r="F4" s="26"/>
      <x:c r="G4" s="30" t="s">
        <x:v>4</x:v>
      </x:c>
      <x:c r="H4" s="31" t="n">
        <x:f>COUNTIF(U7:U98,"检查范围")</x:f>
        <x:v>0</x:v>
      </x:c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</x:row>
    <x:row r="5" ht="14.5">
      <x:c r="A5" s="26"/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32" t="s">
        <x:v>5</x:v>
      </x:c>
      <x:c r="X5" s="32" t="s">
        <x:v>6</x:v>
      </x:c>
    </x:row>
    <x:row r="6" ht="42" customHeight="1">
      <x:c r="A6" s="33" t="s">
        <x:v>7</x:v>
      </x:c>
      <x:c r="B6" s="34" t="s">
        <x:v>8</x:v>
      </x:c>
      <x:c r="C6" s="34" t="s">
        <x:v>9</x:v>
      </x:c>
      <x:c r="D6" s="34" t="s">
        <x:v>10</x:v>
      </x:c>
      <x:c r="E6" s="34" t="s">
        <x:v>11</x:v>
      </x:c>
      <x:c r="F6" s="34" t="s">
        <x:v>12</x:v>
      </x:c>
      <x:c r="G6" s="34" t="s">
        <x:v>13</x:v>
      </x:c>
      <x:c r="H6" s="34" t="s">
        <x:v>14</x:v>
      </x:c>
      <x:c r="I6" s="34" t="s">
        <x:v>15</x:v>
      </x:c>
      <x:c r="J6" s="34" t="s">
        <x:v>16</x:v>
      </x:c>
      <x:c r="K6" s="34" t="s">
        <x:v>17</x:v>
      </x:c>
      <x:c r="L6" s="34" t="s">
        <x:v>18</x:v>
      </x:c>
      <x:c r="M6" s="34" t="s">
        <x:v>19</x:v>
      </x:c>
      <x:c r="N6" s="34" t="s">
        <x:v>20</x:v>
      </x:c>
      <x:c r="O6" s="34" t="s">
        <x:v>21</x:v>
      </x:c>
      <x:c r="P6" s="34" t="s">
        <x:v>22</x:v>
      </x:c>
      <x:c r="Q6" s="34" t="s">
        <x:v>23</x:v>
      </x:c>
      <x:c r="R6" s="34" t="s">
        <x:v>24</x:v>
      </x:c>
      <x:c r="S6" s="34" t="s">
        <x:v>25</x:v>
      </x:c>
      <x:c r="T6" s="34" t="s">
        <x:v>26</x:v>
      </x:c>
      <x:c r="U6" s="35" t="s">
        <x:v>27</x:v>
      </x:c>
      <x:c r="V6" s="36"/>
      <x:c r="W6" s="37" t="s">
        <x:v>28</x:v>
      </x:c>
      <x:c r="X6" s="38" t="s">
        <x:v>29</x:v>
      </x:c>
    </x:row>
    <x:row r="7" ht="28" customHeight="1">
      <x:c r="A7" s="39" t="s">
        <x:v>30</x:v>
      </x:c>
      <x:c r="B7" s="39" t="str">
        <x:v>单球血液成本</x:v>
      </x:c>
      <x:c r="C7" s="39" t="s">
        <x:v>31</x:v>
      </x:c>
      <x:c r="D7" s="40" t="s">
        <x:v>32</x:v>
      </x:c>
      <x:c r="E7" s="40" t="str">
        <x:v>Blood</x:v>
      </x:c>
      <x:c r="F7" s="41" t="n">
        <x:v>1</x:v>
      </x:c>
      <x:c r="G7" s="41" t="n">
        <x:v>0.1</x:v>
      </x:c>
      <x:c r="H7" s="41" t="n">
        <x:v>20</x:v>
      </x:c>
      <x:c r="I7" s="40" t="str">
        <x:v>ADD,MUL,SET</x:v>
      </x:c>
      <x:c r="J7" s="40" t="str">
        <x:v>MUL→ADD→CLAMP</x:v>
      </x:c>
      <x:c r="K7" s="40" t="str">
        <x:v>Ball,Drug,Item</x:v>
      </x:c>
      <x:c r="L7" s="40" t="n">
        <x:v>20</x:v>
      </x:c>
      <x:c r="M7" s="40" t="s">
        <x:v>33</x:v>
      </x:c>
      <x:c r="N7" s="41">
        <x:v>10</x:v>
      </x:c>
      <x:c r="O7" s="40" t="s">
        <x:v>34</x:v>
      </x:c>
      <x:c r="P7" s="40" t="s">
        <x:v>35</x:v>
      </x:c>
      <x:c r="Q7" s="40" t="s">
        <x:v>36</x:v>
      </x:c>
      <x:c r="R7" s="42" t="s">
        <x:v>37</x:v>
      </x:c>
      <x:c r="S7" s="42" t="s">
        <x:v>38</x:v>
      </x:c>
      <x:c r="T7" s="40" t="s">
        <x:v>39</x:v>
      </x:c>
      <x:c r="U7" s="43" t="str">
        <x:f t="shared" ref="U7:U62" si="0">IF(A7="","",IF(OR(AND(G7&lt;&gt;"",F7&lt;G7),AND(H7&lt;&gt;"",F7&gt;H7)),"检查范围","正常"))</x:f>
        <x:v>正常</x:v>
      </x:c>
      <x:c r="V7" s="26"/>
      <x:c r="W7" s="44" t="s">
        <x:v>40</x:v>
      </x:c>
      <x:c r="X7" s="45">
        <x:v>10</x:v>
      </x:c>
    </x:row>
    <x:row r="8" ht="28" customHeight="1">
      <x:c r="A8" s="46" t="s">
        <x:v>41</x:v>
      </x:c>
      <x:c r="B8" s="46" t="str">
        <x:v>剩余血液兑换率</x:v>
      </x:c>
      <x:c r="C8" s="46" t="s">
        <x:v>42</x:v>
      </x:c>
      <x:c r="D8" s="47" t="s">
        <x:v>32</x:v>
      </x:c>
      <x:c r="E8" s="47" t="str">
        <x:v>ratio</x:v>
      </x:c>
      <x:c r="F8" s="48" t="n">
        <x:v>0.65</x:v>
      </x:c>
      <x:c r="G8" s="48" t="n">
        <x:v>0</x:v>
      </x:c>
      <x:c r="H8" s="48" t="n">
        <x:v>3</x:v>
      </x:c>
      <x:c r="I8" s="47" t="str">
        <x:v>ADD,MUL,SET</x:v>
      </x:c>
      <x:c r="J8" s="47" t="str">
        <x:v>ADD→MUL→CLAMP</x:v>
      </x:c>
      <x:c r="K8" s="47" t="str">
        <x:v>Item,Global</x:v>
      </x:c>
      <x:c r="L8" s="47" t="n">
        <x:v>30</x:v>
      </x:c>
      <x:c r="M8" s="47" t="s">
        <x:v>43</x:v>
      </x:c>
      <x:c r="N8" s="48">
        <x:v>2</x:v>
      </x:c>
      <x:c r="O8" s="47" t="s">
        <x:v>44</x:v>
      </x:c>
      <x:c r="P8" s="47" t="s">
        <x:v>45</x:v>
      </x:c>
      <x:c r="Q8" s="47" t="s">
        <x:v>36</x:v>
      </x:c>
      <x:c r="R8" s="49" t="s">
        <x:v>46</x:v>
      </x:c>
      <x:c r="S8" s="49" t="s">
        <x:v>47</x:v>
      </x:c>
      <x:c r="T8" s="47" t="s">
        <x:v>48</x:v>
      </x:c>
      <x:c r="U8" s="50" t="str">
        <x:f t="shared" si="0"/>
        <x:v>正常</x:v>
      </x:c>
      <x:c r="V8" s="26"/>
      <x:c r="W8" s="44" t="s">
        <x:v>49</x:v>
      </x:c>
      <x:c r="X8" s="45">
        <x:v>18</x:v>
      </x:c>
    </x:row>
    <x:row r="9" ht="28" customHeight="1">
      <x:c r="A9" s="46" t="s">
        <x:v>50</x:v>
      </x:c>
      <x:c r="B9" s="46" t="str">
        <x:v>单次生成数量</x:v>
      </x:c>
      <x:c r="C9" s="46" t="s">
        <x:v>51</x:v>
      </x:c>
      <x:c r="D9" s="47" t="s">
        <x:v>52</x:v>
      </x:c>
      <x:c r="E9" s="47" t="str">
        <x:v>count</x:v>
      </x:c>
      <x:c r="F9" s="48" t="n">
        <x:v>1</x:v>
      </x:c>
      <x:c r="G9" s="48" t="n">
        <x:v>1</x:v>
      </x:c>
      <x:c r="H9" s="48" t="n">
        <x:v>100</x:v>
      </x:c>
      <x:c r="I9" s="47" t="str">
        <x:v>ADD,MUL,SET</x:v>
      </x:c>
      <x:c r="J9" s="47" t="str">
        <x:v>ADD→MUL→CLAMP</x:v>
      </x:c>
      <x:c r="K9" s="47" t="str">
        <x:v>Ball,Drug,Item</x:v>
      </x:c>
      <x:c r="L9" s="47" t="n">
        <x:v>20</x:v>
      </x:c>
      <x:c r="M9" s="47" t="s">
        <x:v>53</x:v>
      </x:c>
      <x:c r="N9" s="48">
        <x:v>20</x:v>
      </x:c>
      <x:c r="O9" s="47" t="s">
        <x:v>54</x:v>
      </x:c>
      <x:c r="P9" s="47" t="s">
        <x:v>55</x:v>
      </x:c>
      <x:c r="Q9" s="47" t="s">
        <x:v>36</x:v>
      </x:c>
      <x:c r="R9" s="49" t="s">
        <x:v>56</x:v>
      </x:c>
      <x:c r="S9" s="49" t="s">
        <x:v>57</x:v>
      </x:c>
      <x:c r="T9" s="47" t="s">
        <x:v>39</x:v>
      </x:c>
      <x:c r="U9" s="50" t="str">
        <x:f t="shared" si="0"/>
        <x:v>正常</x:v>
      </x:c>
      <x:c r="V9" s="26"/>
      <x:c r="W9" s="51" t="s">
        <x:v>58</x:v>
      </x:c>
      <x:c r="X9" s="52">
        <x:v>80</x:v>
      </x:c>
    </x:row>
    <x:row r="10" ht="28" customHeight="1">
      <x:c r="A10" s="46" t="s">
        <x:v>59</x:v>
      </x:c>
      <x:c r="B10" s="46" t="str">
        <x:v>弹珠基础价值</x:v>
      </x:c>
      <x:c r="C10" s="46" t="s">
        <x:v>60</x:v>
      </x:c>
      <x:c r="D10" s="47" t="s">
        <x:v>61</x:v>
      </x:c>
      <x:c r="E10" s="47" t="str">
        <x:v>Score</x:v>
      </x:c>
      <x:c r="F10" s="48" t="n">
        <x:v>1</x:v>
      </x:c>
      <x:c r="G10" s="48" t="n">
        <x:v>0</x:v>
      </x:c>
      <x:c r="H10" s="48" t="n">
        <x:v>10000</x:v>
      </x:c>
      <x:c r="I10" s="47" t="str">
        <x:v>ADD,MUL,SET</x:v>
      </x:c>
      <x:c r="J10" s="47" t="str">
        <x:v>ADD→MUL→CLAMP</x:v>
      </x:c>
      <x:c r="K10" s="47" t="str">
        <x:v>Ball,Drug,Item</x:v>
      </x:c>
      <x:c r="L10" s="47" t="n">
        <x:v>30</x:v>
      </x:c>
      <x:c r="M10" s="47" t="s">
        <x:v>62</x:v>
      </x:c>
      <x:c r="N10" s="48">
        <x:v>200</x:v>
      </x:c>
      <x:c r="O10" s="47" t="s">
        <x:v>63</x:v>
      </x:c>
      <x:c r="P10" s="47" t="s">
        <x:v>64</x:v>
      </x:c>
      <x:c r="Q10" s="47" t="s">
        <x:v>36</x:v>
      </x:c>
      <x:c r="R10" s="49" t="s">
        <x:v>65</x:v>
      </x:c>
      <x:c r="S10" s="49" t="s">
        <x:v>66</x:v>
      </x:c>
      <x:c r="T10" s="47" t="s">
        <x:v>39</x:v>
      </x:c>
      <x:c r="U10" s="50" t="str">
        <x:f t="shared" si="0"/>
        <x:v>正常</x:v>
      </x:c>
      <x:c r="V10" s="26"/>
      <x:c r="W10" s="26"/>
      <x:c r="X10" s="26"/>
    </x:row>
    <x:row r="11" ht="28" customHeight="1">
      <x:c r="A11" s="46" t="s">
        <x:v>67</x:v>
      </x:c>
      <x:c r="B11" s="46" t="str">
        <x:v>赌博池价值修正</x:v>
      </x:c>
      <x:c r="C11" s="46" t="s">
        <x:v>68</x:v>
      </x:c>
      <x:c r="D11" s="47" t="s">
        <x:v>69</x:v>
      </x:c>
      <x:c r="E11" s="47" t="str">
        <x:v>x</x:v>
      </x:c>
      <x:c r="F11" s="48" t="n">
        <x:v>1</x:v>
      </x:c>
      <x:c r="G11" s="48" t="n">
        <x:v>0</x:v>
      </x:c>
      <x:c r="H11" s="48" t="n">
        <x:v>5</x:v>
      </x:c>
      <x:c r="I11" s="47" t="str">
        <x:v>ADD,MUL,SET</x:v>
      </x:c>
      <x:c r="J11" s="47" t="str">
        <x:v>ADD→MUL→CLAMP</x:v>
      </x:c>
      <x:c r="K11" s="47" t="str">
        <x:v>Ball,Drug,Item</x:v>
      </x:c>
      <x:c r="L11" s="47" t="n">
        <x:v>30</x:v>
      </x:c>
      <x:c r="M11" s="47" t="s">
        <x:v>70</x:v>
      </x:c>
      <x:c r="N11" s="48">
        <x:v>2.5</x:v>
      </x:c>
      <x:c r="O11" s="47" t="s">
        <x:v>71</x:v>
      </x:c>
      <x:c r="P11" s="47" t="s">
        <x:v>72</x:v>
      </x:c>
      <x:c r="Q11" s="47" t="s">
        <x:v>36</x:v>
      </x:c>
      <x:c r="R11" s="49" t="s">
        <x:v>73</x:v>
      </x:c>
      <x:c r="S11" s="49" t="s">
        <x:v>74</x:v>
      </x:c>
      <x:c r="T11" s="47" t="s">
        <x:v>48</x:v>
      </x:c>
      <x:c r="U11" s="50" t="str">
        <x:f t="shared" si="0"/>
        <x:v>正常</x:v>
      </x:c>
      <x:c r="V11" s="26"/>
      <x:c r="W11" s="26"/>
      <x:c r="X11" s="26"/>
    </x:row>
    <x:row r="12" ht="28" customHeight="1">
      <x:c r="A12" s="46" t="s">
        <x:v>75</x:v>
      </x:c>
      <x:c r="B12" s="46" t="str">
        <x:v>单球RUSH贡献</x:v>
      </x:c>
      <x:c r="C12" s="46" t="s">
        <x:v>76</x:v>
      </x:c>
      <x:c r="D12" s="47" t="s">
        <x:v>77</x:v>
      </x:c>
      <x:c r="E12" s="47" t="str">
        <x:v>unit</x:v>
      </x:c>
      <x:c r="F12" s="48" t="n">
        <x:v>1</x:v>
      </x:c>
      <x:c r="G12" s="48" t="n">
        <x:v>0</x:v>
      </x:c>
      <x:c r="H12" s="48" t="n">
        <x:v>100</x:v>
      </x:c>
      <x:c r="I12" s="47" t="str">
        <x:v>ADD,MUL,SET</x:v>
      </x:c>
      <x:c r="J12" s="47" t="str">
        <x:v>ADD→MUL→CLAMP</x:v>
      </x:c>
      <x:c r="K12" s="47" t="str">
        <x:v>Ball,Drug,Item</x:v>
      </x:c>
      <x:c r="L12" s="47" t="n">
        <x:v>20</x:v>
      </x:c>
      <x:c r="M12" s="47" t="s">
        <x:v>78</x:v>
      </x:c>
      <x:c r="N12" s="48">
        <x:v>15</x:v>
      </x:c>
      <x:c r="O12" s="47" t="s">
        <x:v>79</x:v>
      </x:c>
      <x:c r="P12" s="47" t="s">
        <x:v>80</x:v>
      </x:c>
      <x:c r="Q12" s="47" t="s">
        <x:v>36</x:v>
      </x:c>
      <x:c r="R12" s="49" t="s">
        <x:v>81</x:v>
      </x:c>
      <x:c r="S12" s="49" t="s">
        <x:v>82</x:v>
      </x:c>
      <x:c r="T12" s="47" t="s">
        <x:v>48</x:v>
      </x:c>
      <x:c r="U12" s="50" t="str">
        <x:f t="shared" si="0"/>
        <x:v>正常</x:v>
      </x:c>
      <x:c r="V12" s="26"/>
      <x:c r="W12" s="26"/>
      <x:c r="X12" s="26"/>
    </x:row>
    <x:row r="13" ht="28" customHeight="1">
      <x:c r="A13" s="46" t="s">
        <x:v>83</x:v>
      </x:c>
      <x:c r="B13" s="46" t="str">
        <x:v>弹珠半径</x:v>
      </x:c>
      <x:c r="C13" s="46" t="s">
        <x:v>84</x:v>
      </x:c>
      <x:c r="D13" s="47" t="s">
        <x:v>85</x:v>
      </x:c>
      <x:c r="E13" s="47" t="str">
        <x:v>unit</x:v>
      </x:c>
      <x:c r="F13" s="48" t="n">
        <x:v>0.5</x:v>
      </x:c>
      <x:c r="G13" s="48" t="n">
        <x:v>0.1</x:v>
      </x:c>
      <x:c r="H13" s="48" t="n">
        <x:v>3</x:v>
      </x:c>
      <x:c r="I13" s="47" t="str">
        <x:v>ADD,MUL,SET</x:v>
      </x:c>
      <x:c r="J13" s="47" t="str">
        <x:v>ADD→MUL→CLAMP</x:v>
      </x:c>
      <x:c r="K13" s="47" t="str">
        <x:v>Ball,Drug,Item</x:v>
      </x:c>
      <x:c r="L13" s="47" t="n">
        <x:v>10</x:v>
      </x:c>
      <x:c r="M13" s="47" t="s">
        <x:v>86</x:v>
      </x:c>
      <x:c r="N13" s="48">
        <x:v>1.5</x:v>
      </x:c>
      <x:c r="O13" s="47" t="s">
        <x:v>87</x:v>
      </x:c>
      <x:c r="P13" s="47" t="s">
        <x:v>88</x:v>
      </x:c>
      <x:c r="Q13" s="47" t="s">
        <x:v>36</x:v>
      </x:c>
      <x:c r="R13" s="49" t="s">
        <x:v>89</x:v>
      </x:c>
      <x:c r="S13" s="49" t="s">
        <x:v>90</x:v>
      </x:c>
      <x:c r="T13" s="47" t="s">
        <x:v>48</x:v>
      </x:c>
      <x:c r="U13" s="50" t="str">
        <x:f t="shared" si="0"/>
        <x:v>正常</x:v>
      </x:c>
      <x:c r="V13" s="26"/>
      <x:c r="W13" s="26"/>
      <x:c r="X13" s="26"/>
    </x:row>
    <x:row r="14" ht="28" customHeight="1">
      <x:c r="A14" s="46" t="s">
        <x:v>91</x:v>
      </x:c>
      <x:c r="B14" s="46" t="str">
        <x:v>弹珠质量</x:v>
      </x:c>
      <x:c r="C14" s="46" t="s">
        <x:v>92</x:v>
      </x:c>
      <x:c r="D14" s="47" t="s">
        <x:v>85</x:v>
      </x:c>
      <x:c r="E14" s="47" t="str">
        <x:v>kg</x:v>
      </x:c>
      <x:c r="F14" s="48" t="n">
        <x:v>1</x:v>
      </x:c>
      <x:c r="G14" s="48" t="n">
        <x:v>0.1</x:v>
      </x:c>
      <x:c r="H14" s="48" t="n">
        <x:v>20</x:v>
      </x:c>
      <x:c r="I14" s="47" t="str">
        <x:v>ADD,MUL,SET</x:v>
      </x:c>
      <x:c r="J14" s="47" t="str">
        <x:v>ADD→MUL→CLAMP</x:v>
      </x:c>
      <x:c r="K14" s="47" t="str">
        <x:v>Ball,Drug,Item</x:v>
      </x:c>
      <x:c r="L14" s="47" t="n">
        <x:v>10</x:v>
      </x:c>
      <x:c r="M14" s="47" t="s">
        <x:v>93</x:v>
      </x:c>
      <x:c r="N14" s="48">
        <x:v>8</x:v>
      </x:c>
      <x:c r="O14" s="47" t="s">
        <x:v>94</x:v>
      </x:c>
      <x:c r="P14" s="47" t="s">
        <x:v>95</x:v>
      </x:c>
      <x:c r="Q14" s="47" t="s">
        <x:v>36</x:v>
      </x:c>
      <x:c r="R14" s="49" t="s">
        <x:v>96</x:v>
      </x:c>
      <x:c r="S14" s="49" t="s">
        <x:v>97</x:v>
      </x:c>
      <x:c r="T14" s="47" t="s">
        <x:v>48</x:v>
      </x:c>
      <x:c r="U14" s="50" t="str">
        <x:f t="shared" si="0"/>
        <x:v>正常</x:v>
      </x:c>
      <x:c r="V14" s="26"/>
      <x:c r="W14" s="26"/>
      <x:c r="X14" s="26"/>
    </x:row>
    <x:row r="15" ht="28" customHeight="1">
      <x:c r="A15" s="46" t="s">
        <x:v>98</x:v>
      </x:c>
      <x:c r="B15" s="46" t="str">
        <x:v>弹性</x:v>
      </x:c>
      <x:c r="C15" s="46" t="s">
        <x:v>99</x:v>
      </x:c>
      <x:c r="D15" s="47" t="s">
        <x:v>85</x:v>
      </x:c>
      <x:c r="E15" s="47" t="str">
        <x:v>ratio</x:v>
      </x:c>
      <x:c r="F15" s="48" t="n">
        <x:v>0</x:v>
      </x:c>
      <x:c r="G15" s="48" t="n">
        <x:v>0</x:v>
      </x:c>
      <x:c r="H15" s="48" t="n">
        <x:v>2</x:v>
      </x:c>
      <x:c r="I15" s="47" t="str">
        <x:v>ADD,MUL,SET</x:v>
      </x:c>
      <x:c r="J15" s="47" t="str">
        <x:v>ADD→MUL→CLAMP</x:v>
      </x:c>
      <x:c r="K15" s="47" t="str">
        <x:v>Ball,Drug,Item</x:v>
      </x:c>
      <x:c r="L15" s="47" t="n">
        <x:v>10</x:v>
      </x:c>
      <x:c r="M15" s="47" t="s">
        <x:v>100</x:v>
      </x:c>
      <x:c r="N15" s="48">
        <x:v>1.5</x:v>
      </x:c>
      <x:c r="O15" s="47" t="s">
        <x:v>101</x:v>
      </x:c>
      <x:c r="P15" s="47" t="s">
        <x:v>102</x:v>
      </x:c>
      <x:c r="Q15" s="47" t="s">
        <x:v>36</x:v>
      </x:c>
      <x:c r="R15" s="49" t="s">
        <x:v>103</x:v>
      </x:c>
      <x:c r="S15" s="49" t="s">
        <x:v>104</x:v>
      </x:c>
      <x:c r="T15" s="47" t="s">
        <x:v>39</x:v>
      </x:c>
      <x:c r="U15" s="50" t="str">
        <x:f t="shared" si="0"/>
        <x:v>正常</x:v>
      </x:c>
      <x:c r="V15" s="26"/>
      <x:c r="W15" s="26"/>
      <x:c r="X15" s="26"/>
    </x:row>
    <x:row r="16" ht="28" customHeight="1">
      <x:c r="A16" s="46" t="s">
        <x:v>105</x:v>
      </x:c>
      <x:c r="B16" s="46" t="str">
        <x:v>摩擦</x:v>
      </x:c>
      <x:c r="C16" s="46" t="s">
        <x:v>106</x:v>
      </x:c>
      <x:c r="D16" s="47" t="s">
        <x:v>85</x:v>
      </x:c>
      <x:c r="E16" s="47" t="str">
        <x:v>ratio</x:v>
      </x:c>
      <x:c r="F16" s="48" t="n">
        <x:v>0.25</x:v>
      </x:c>
      <x:c r="G16" s="48" t="n">
        <x:v>0</x:v>
      </x:c>
      <x:c r="H16" s="48" t="n">
        <x:v>2</x:v>
      </x:c>
      <x:c r="I16" s="47" t="str">
        <x:v>ADD,MUL,SET</x:v>
      </x:c>
      <x:c r="J16" s="47" t="str">
        <x:v>ADD→MUL→CLAMP</x:v>
      </x:c>
      <x:c r="K16" s="47" t="str">
        <x:v>Ball,Drug,Item</x:v>
      </x:c>
      <x:c r="L16" s="47" t="n">
        <x:v>10</x:v>
      </x:c>
      <x:c r="M16" s="47" t="s">
        <x:v>107</x:v>
      </x:c>
      <x:c r="N16" s="48">
        <x:v>1.2</x:v>
      </x:c>
      <x:c r="O16" s="47" t="s">
        <x:v>108</x:v>
      </x:c>
      <x:c r="P16" s="47" t="s">
        <x:v>109</x:v>
      </x:c>
      <x:c r="Q16" s="47" t="s">
        <x:v>36</x:v>
      </x:c>
      <x:c r="R16" s="49" t="s">
        <x:v>110</x:v>
      </x:c>
      <x:c r="S16" s="49" t="s">
        <x:v>111</x:v>
      </x:c>
      <x:c r="T16" s="47" t="s">
        <x:v>48</x:v>
      </x:c>
      <x:c r="U16" s="50" t="str">
        <x:f t="shared" si="0"/>
        <x:v>正常</x:v>
      </x:c>
      <x:c r="V16" s="26"/>
      <x:c r="W16" s="26"/>
      <x:c r="X16" s="26"/>
    </x:row>
    <x:row r="17" ht="28" customHeight="1">
      <x:c r="A17" s="46" t="s">
        <x:v>112</x:v>
      </x:c>
      <x:c r="B17" s="46" t="str">
        <x:v>重力修正</x:v>
      </x:c>
      <x:c r="C17" s="46" t="s">
        <x:v>113</x:v>
      </x:c>
      <x:c r="D17" s="47" t="s">
        <x:v>85</x:v>
      </x:c>
      <x:c r="E17" s="47" t="str">
        <x:v>x</x:v>
      </x:c>
      <x:c r="F17" s="48" t="n">
        <x:v>1</x:v>
      </x:c>
      <x:c r="G17" s="48" t="n">
        <x:v>0</x:v>
      </x:c>
      <x:c r="H17" s="48" t="n">
        <x:v>5</x:v>
      </x:c>
      <x:c r="I17" s="47" t="str">
        <x:v>ADD,MUL,SET</x:v>
      </x:c>
      <x:c r="J17" s="47" t="str">
        <x:v>ADD→MUL→CLAMP</x:v>
      </x:c>
      <x:c r="K17" s="47" t="str">
        <x:v>Ball,Drug,Item</x:v>
      </x:c>
      <x:c r="L17" s="47" t="n">
        <x:v>10</x:v>
      </x:c>
      <x:c r="M17" s="47" t="s">
        <x:v>70</x:v>
      </x:c>
      <x:c r="N17" s="48">
        <x:v>2.5</x:v>
      </x:c>
      <x:c r="O17" s="47" t="s">
        <x:v>114</x:v>
      </x:c>
      <x:c r="P17" s="47" t="s">
        <x:v>115</x:v>
      </x:c>
      <x:c r="Q17" s="47" t="s">
        <x:v>36</x:v>
      </x:c>
      <x:c r="R17" s="49" t="s">
        <x:v>116</x:v>
      </x:c>
      <x:c r="S17" s="49" t="s">
        <x:v>117</x:v>
      </x:c>
      <x:c r="T17" s="47" t="s">
        <x:v>48</x:v>
      </x:c>
      <x:c r="U17" s="50" t="str">
        <x:f t="shared" si="0"/>
        <x:v>正常</x:v>
      </x:c>
      <x:c r="V17" s="26"/>
      <x:c r="W17" s="26"/>
      <x:c r="X17" s="26"/>
    </x:row>
    <x:row r="18" ht="28" customHeight="1">
      <x:c r="A18" s="46" t="s">
        <x:v>118</x:v>
      </x:c>
      <x:c r="B18" s="46" t="str">
        <x:v>发射速度</x:v>
      </x:c>
      <x:c r="C18" s="46" t="s">
        <x:v>119</x:v>
      </x:c>
      <x:c r="D18" s="47" t="s">
        <x:v>85</x:v>
      </x:c>
      <x:c r="E18" s="47" t="str">
        <x:v>m/s</x:v>
      </x:c>
      <x:c r="F18" s="48" t="n">
        <x:v>1</x:v>
      </x:c>
      <x:c r="G18" s="48" t="n">
        <x:v>0.2</x:v>
      </x:c>
      <x:c r="H18" s="48" t="n">
        <x:v>5</x:v>
      </x:c>
      <x:c r="I18" s="47" t="str">
        <x:v>ADD,MUL,SET</x:v>
      </x:c>
      <x:c r="J18" s="47" t="str">
        <x:v>ADD→MUL→CLAMP</x:v>
      </x:c>
      <x:c r="K18" s="47" t="str">
        <x:v>Ball,Drug,Item</x:v>
      </x:c>
      <x:c r="L18" s="47" t="n">
        <x:v>10</x:v>
      </x:c>
      <x:c r="M18" s="47" t="s">
        <x:v>120</x:v>
      </x:c>
      <x:c r="N18" s="48">
        <x:v>2.5</x:v>
      </x:c>
      <x:c r="O18" s="47" t="s">
        <x:v>121</x:v>
      </x:c>
      <x:c r="P18" s="47" t="s">
        <x:v>122</x:v>
      </x:c>
      <x:c r="Q18" s="47" t="s">
        <x:v>36</x:v>
      </x:c>
      <x:c r="R18" s="49" t="s">
        <x:v>123</x:v>
      </x:c>
      <x:c r="S18" s="49" t="s">
        <x:v>124</x:v>
      </x:c>
      <x:c r="T18" s="47" t="s">
        <x:v>39</x:v>
      </x:c>
      <x:c r="U18" s="50" t="str">
        <x:f t="shared" si="0"/>
        <x:v>正常</x:v>
      </x:c>
      <x:c r="V18" s="26"/>
      <x:c r="W18" s="26"/>
      <x:c r="X18" s="26"/>
    </x:row>
    <x:row r="19" ht="28" customHeight="1">
      <x:c r="A19" s="46" t="s">
        <x:v>125</x:v>
      </x:c>
      <x:c r="B19" s="46" t="str">
        <x:v>最大速度</x:v>
      </x:c>
      <x:c r="C19" s="46" t="s">
        <x:v>126</x:v>
      </x:c>
      <x:c r="D19" s="47" t="s">
        <x:v>85</x:v>
      </x:c>
      <x:c r="E19" s="47" t="str">
        <x:v>unit/s</x:v>
      </x:c>
      <x:c r="F19" s="48" t="n">
        <x:v>12</x:v>
      </x:c>
      <x:c r="G19" s="48" t="n">
        <x:v>1</x:v>
      </x:c>
      <x:c r="H19" s="48" t="n">
        <x:v>100</x:v>
      </x:c>
      <x:c r="I19" s="47" t="str">
        <x:v>ADD,MUL,SET</x:v>
      </x:c>
      <x:c r="J19" s="47" t="str">
        <x:v>ADD→MUL→CLAMP</x:v>
      </x:c>
      <x:c r="K19" s="47" t="str">
        <x:v>Ball,Drug,Item</x:v>
      </x:c>
      <x:c r="L19" s="47" t="n">
        <x:v>10</x:v>
      </x:c>
      <x:c r="M19" s="47" t="s">
        <x:v>127</x:v>
      </x:c>
      <x:c r="N19" s="48">
        <x:v>45</x:v>
      </x:c>
      <x:c r="O19" s="47" t="s">
        <x:v>128</x:v>
      </x:c>
      <x:c r="P19" s="47" t="s">
        <x:v>129</x:v>
      </x:c>
      <x:c r="Q19" s="47" t="s">
        <x:v>36</x:v>
      </x:c>
      <x:c r="R19" s="49" t="s">
        <x:v>130</x:v>
      </x:c>
      <x:c r="S19" s="49" t="s">
        <x:v>131</x:v>
      </x:c>
      <x:c r="T19" s="47" t="s">
        <x:v>48</x:v>
      </x:c>
      <x:c r="U19" s="50" t="str">
        <x:f t="shared" si="0"/>
        <x:v>正常</x:v>
      </x:c>
      <x:c r="V19" s="26"/>
      <x:c r="W19" s="26"/>
      <x:c r="X19" s="26"/>
    </x:row>
    <x:row r="20" ht="28" customHeight="1">
      <x:c r="A20" s="46" t="s">
        <x:v>132</x:v>
      </x:c>
      <x:c r="B20" s="46" t="str">
        <x:v>磁力响应</x:v>
      </x:c>
      <x:c r="C20" s="46" t="s">
        <x:v>133</x:v>
      </x:c>
      <x:c r="D20" s="47" t="s">
        <x:v>85</x:v>
      </x:c>
      <x:c r="E20" s="47" t="str">
        <x:v>x</x:v>
      </x:c>
      <x:c r="F20" s="48" t="n">
        <x:v>1</x:v>
      </x:c>
      <x:c r="G20" s="48" t="n">
        <x:v>0</x:v>
      </x:c>
      <x:c r="H20" s="48" t="n">
        <x:v>10</x:v>
      </x:c>
      <x:c r="I20" s="47" t="str">
        <x:v>ADD,MUL,SET</x:v>
      </x:c>
      <x:c r="J20" s="47" t="str">
        <x:v>ADD→MUL→CLAMP</x:v>
      </x:c>
      <x:c r="K20" s="47" t="str">
        <x:v>Ball,Drug,Item</x:v>
      </x:c>
      <x:c r="L20" s="47" t="n">
        <x:v>10</x:v>
      </x:c>
      <x:c r="M20" s="47" t="s">
        <x:v>134</x:v>
      </x:c>
      <x:c r="N20" s="48">
        <x:v>5</x:v>
      </x:c>
      <x:c r="O20" s="47" t="s">
        <x:v>135</x:v>
      </x:c>
      <x:c r="P20" s="47" t="s">
        <x:v>136</x:v>
      </x:c>
      <x:c r="Q20" s="47" t="s">
        <x:v>36</x:v>
      </x:c>
      <x:c r="R20" s="49" t="s">
        <x:v>137</x:v>
      </x:c>
      <x:c r="S20" s="49" t="s">
        <x:v>138</x:v>
      </x:c>
      <x:c r="T20" s="47" t="s">
        <x:v>139</x:v>
      </x:c>
      <x:c r="U20" s="50" t="str">
        <x:f t="shared" si="0"/>
        <x:v>正常</x:v>
      </x:c>
      <x:c r="V20" s="26"/>
      <x:c r="W20" s="26"/>
      <x:c r="X20" s="26"/>
    </x:row>
    <x:row r="21" ht="28" customHeight="1">
      <x:c r="A21" s="46" t="s">
        <x:v>140</x:v>
      </x:c>
      <x:c r="B21" s="46" t="str">
        <x:v>生命周期</x:v>
      </x:c>
      <x:c r="C21" s="46" t="s">
        <x:v>141</x:v>
      </x:c>
      <x:c r="D21" s="47" t="s">
        <x:v>85</x:v>
      </x:c>
      <x:c r="E21" s="47" t="str">
        <x:v>sec</x:v>
      </x:c>
      <x:c r="F21" s="48" t="n">
        <x:v>30</x:v>
      </x:c>
      <x:c r="G21" s="48" t="n">
        <x:v>1</x:v>
      </x:c>
      <x:c r="H21" s="48" t="n">
        <x:v>180</x:v>
      </x:c>
      <x:c r="I21" s="47" t="str">
        <x:v>ADD,MUL,SET</x:v>
      </x:c>
      <x:c r="J21" s="47" t="str">
        <x:v>ADD→MUL→CLAMP</x:v>
      </x:c>
      <x:c r="K21" s="47" t="str">
        <x:v>Ball,Drug,Item</x:v>
      </x:c>
      <x:c r="L21" s="47" t="n">
        <x:v>10</x:v>
      </x:c>
      <x:c r="M21" s="47" t="s">
        <x:v>142</x:v>
      </x:c>
      <x:c r="N21" s="48">
        <x:v>90</x:v>
      </x:c>
      <x:c r="O21" s="47" t="s">
        <x:v>143</x:v>
      </x:c>
      <x:c r="P21" s="47" t="s">
        <x:v>144</x:v>
      </x:c>
      <x:c r="Q21" s="47" t="s">
        <x:v>36</x:v>
      </x:c>
      <x:c r="R21" s="49" t="s">
        <x:v>145</x:v>
      </x:c>
      <x:c r="S21" s="49" t="s">
        <x:v>146</x:v>
      </x:c>
      <x:c r="T21" s="47" t="s">
        <x:v>48</x:v>
      </x:c>
      <x:c r="U21" s="50" t="str">
        <x:f t="shared" si="0"/>
        <x:v>正常</x:v>
      </x:c>
      <x:c r="V21" s="26"/>
      <x:c r="W21" s="26"/>
      <x:c r="X21" s="26"/>
    </x:row>
    <x:row r="22" ht="28" customHeight="1">
      <x:c r="A22" s="46" t="s">
        <x:v>147</x:v>
      </x:c>
      <x:c r="B22" s="46" t="str">
        <x:v>分裂数量</x:v>
      </x:c>
      <x:c r="C22" s="46" t="s">
        <x:v>148</x:v>
      </x:c>
      <x:c r="D22" s="47" t="s">
        <x:v>85</x:v>
      </x:c>
      <x:c r="E22" s="47" t="str">
        <x:v>count</x:v>
      </x:c>
      <x:c r="F22" s="48" t="n">
        <x:v>0</x:v>
      </x:c>
      <x:c r="G22" s="48" t="n">
        <x:v>0</x:v>
      </x:c>
      <x:c r="H22" s="48" t="n">
        <x:v>20</x:v>
      </x:c>
      <x:c r="I22" s="47" t="str">
        <x:v>ADD,SET</x:v>
      </x:c>
      <x:c r="J22" s="47" t="str">
        <x:v>ADD→CLAMP</x:v>
      </x:c>
      <x:c r="K22" s="47" t="str">
        <x:v>Ball,Drug,Item</x:v>
      </x:c>
      <x:c r="L22" s="47" t="n">
        <x:v>20</x:v>
      </x:c>
      <x:c r="M22" s="47" t="s">
        <x:v>149</x:v>
      </x:c>
      <x:c r="N22" s="48">
        <x:v>8</x:v>
      </x:c>
      <x:c r="O22" s="47" t="s">
        <x:v>150</x:v>
      </x:c>
      <x:c r="P22" s="47" t="s">
        <x:v>151</x:v>
      </x:c>
      <x:c r="Q22" s="47" t="s">
        <x:v>36</x:v>
      </x:c>
      <x:c r="R22" s="49" t="s">
        <x:v>152</x:v>
      </x:c>
      <x:c r="S22" s="49" t="s">
        <x:v>153</x:v>
      </x:c>
      <x:c r="T22" s="47" t="s">
        <x:v>48</x:v>
      </x:c>
      <x:c r="U22" s="50" t="str">
        <x:f t="shared" si="0"/>
        <x:v>正常</x:v>
      </x:c>
      <x:c r="V22" s="26"/>
      <x:c r="W22" s="26"/>
      <x:c r="X22" s="26"/>
    </x:row>
    <x:row r="23" ht="28" customHeight="1">
      <x:c r="A23" s="46" t="s">
        <x:v>154</x:v>
      </x:c>
      <x:c r="B23" s="46" t="str">
        <x:v>克隆价值保留率</x:v>
      </x:c>
      <x:c r="C23" s="46" t="s">
        <x:v>155</x:v>
      </x:c>
      <x:c r="D23" s="47" t="s">
        <x:v>61</x:v>
      </x:c>
      <x:c r="E23" s="47" t="str">
        <x:v>%</x:v>
      </x:c>
      <x:c r="F23" s="48" t="n">
        <x:v>0.6</x:v>
      </x:c>
      <x:c r="G23" s="48" t="n">
        <x:v>0</x:v>
      </x:c>
      <x:c r="H23" s="48" t="n">
        <x:v>1</x:v>
      </x:c>
      <x:c r="I23" s="47" t="str">
        <x:v>ADD,MUL,SET</x:v>
      </x:c>
      <x:c r="J23" s="47" t="str">
        <x:v>ADD→MUL→CLAMP</x:v>
      </x:c>
      <x:c r="K23" s="47" t="str">
        <x:v>Ball,Drug,Item</x:v>
      </x:c>
      <x:c r="L23" s="47" t="n">
        <x:v>30</x:v>
      </x:c>
      <x:c r="M23" s="47" t="s">
        <x:v>156</x:v>
      </x:c>
      <x:c r="N23" s="48">
        <x:v>0.9</x:v>
      </x:c>
      <x:c r="O23" s="47" t="s">
        <x:v>157</x:v>
      </x:c>
      <x:c r="P23" s="47" t="s">
        <x:v>158</x:v>
      </x:c>
      <x:c r="Q23" s="47" t="s">
        <x:v>36</x:v>
      </x:c>
      <x:c r="R23" s="49" t="s">
        <x:v>159</x:v>
      </x:c>
      <x:c r="S23" s="49" t="s">
        <x:v>160</x:v>
      </x:c>
      <x:c r="T23" s="47" t="s">
        <x:v>48</x:v>
      </x:c>
      <x:c r="U23" s="50" t="str">
        <x:f t="shared" si="0"/>
        <x:v>正常</x:v>
      </x:c>
      <x:c r="V23" s="26"/>
      <x:c r="W23" s="26"/>
      <x:c r="X23" s="26"/>
    </x:row>
    <x:row r="24" ht="28" customHeight="1">
      <x:c r="A24" s="46" t="s">
        <x:v>161</x:v>
      </x:c>
      <x:c r="B24" s="46" t="str">
        <x:v>穿透次数</x:v>
      </x:c>
      <x:c r="C24" s="46" t="s">
        <x:v>162</x:v>
      </x:c>
      <x:c r="D24" s="47" t="s">
        <x:v>85</x:v>
      </x:c>
      <x:c r="E24" s="47" t="str">
        <x:v>count</x:v>
      </x:c>
      <x:c r="F24" s="48" t="n">
        <x:v>0</x:v>
      </x:c>
      <x:c r="G24" s="48" t="n">
        <x:v>0</x:v>
      </x:c>
      <x:c r="H24" s="48" t="n">
        <x:v>20</x:v>
      </x:c>
      <x:c r="I24" s="47" t="str">
        <x:v>ADD,SET</x:v>
      </x:c>
      <x:c r="J24" s="47" t="str">
        <x:v>ADD→CLAMP</x:v>
      </x:c>
      <x:c r="K24" s="47" t="str">
        <x:v>Ball,Drug,Item</x:v>
      </x:c>
      <x:c r="L24" s="47" t="n">
        <x:v>20</x:v>
      </x:c>
      <x:c r="M24" s="47" t="s">
        <x:v>134</x:v>
      </x:c>
      <x:c r="N24" s="48">
        <x:v>6</x:v>
      </x:c>
      <x:c r="O24" s="47" t="s">
        <x:v>163</x:v>
      </x:c>
      <x:c r="P24" s="47" t="s">
        <x:v>164</x:v>
      </x:c>
      <x:c r="Q24" s="47" t="s">
        <x:v>36</x:v>
      </x:c>
      <x:c r="R24" s="49" t="s">
        <x:v>165</x:v>
      </x:c>
      <x:c r="S24" s="49" t="s">
        <x:v>166</x:v>
      </x:c>
      <x:c r="T24" s="47" t="s">
        <x:v>139</x:v>
      </x:c>
      <x:c r="U24" s="50" t="str">
        <x:f t="shared" si="0"/>
        <x:v>正常</x:v>
      </x:c>
      <x:c r="V24" s="26"/>
      <x:c r="W24" s="26"/>
      <x:c r="X24" s="26"/>
    </x:row>
    <x:row r="25" ht="28" customHeight="1">
      <x:c r="A25" s="46" t="s">
        <x:v>167</x:v>
      </x:c>
      <x:c r="B25" s="46" t="str">
        <x:v>机器倍率</x:v>
      </x:c>
      <x:c r="C25" s="46" t="s">
        <x:v>168</x:v>
      </x:c>
      <x:c r="D25" s="47" t="s">
        <x:v>61</x:v>
      </x:c>
      <x:c r="E25" s="47" t="str">
        <x:v>x</x:v>
      </x:c>
      <x:c r="F25" s="48" t="n">
        <x:v>1</x:v>
      </x:c>
      <x:c r="G25" s="48" t="n">
        <x:v>1</x:v>
      </x:c>
      <x:c r="H25" s="48" t="n">
        <x:v>100</x:v>
      </x:c>
      <x:c r="I25" s="47" t="str">
        <x:v>ADD,MUL,SET</x:v>
      </x:c>
      <x:c r="J25" s="47" t="str">
        <x:v>ADD→MUL→CLAMP</x:v>
      </x:c>
      <x:c r="K25" s="47" t="str">
        <x:v>Item,Device,Global</x:v>
      </x:c>
      <x:c r="L25" s="47" t="n">
        <x:v>40</x:v>
      </x:c>
      <x:c r="M25" s="47" t="s">
        <x:v>169</x:v>
      </x:c>
      <x:c r="N25" s="48">
        <x:v>10</x:v>
      </x:c>
      <x:c r="O25" s="47" t="s">
        <x:v>170</x:v>
      </x:c>
      <x:c r="P25" s="47" t="s">
        <x:v>171</x:v>
      </x:c>
      <x:c r="Q25" s="47" t="s">
        <x:v>36</x:v>
      </x:c>
      <x:c r="R25" s="49" t="s">
        <x:v>172</x:v>
      </x:c>
      <x:c r="S25" s="49" t="s">
        <x:v>173</x:v>
      </x:c>
      <x:c r="T25" s="47" t="s">
        <x:v>39</x:v>
      </x:c>
      <x:c r="U25" s="50" t="str">
        <x:f t="shared" si="0"/>
        <x:v>正常</x:v>
      </x:c>
      <x:c r="V25" s="26"/>
      <x:c r="W25" s="26"/>
      <x:c r="X25" s="26"/>
    </x:row>
    <x:row r="26" ht="28" customHeight="1">
      <x:c r="A26" s="46" t="s">
        <x:v>174</x:v>
      </x:c>
      <x:c r="B26" s="46" t="str">
        <x:v>全局倍率</x:v>
      </x:c>
      <x:c r="C26" s="46" t="s">
        <x:v>175</x:v>
      </x:c>
      <x:c r="D26" s="47" t="s">
        <x:v>61</x:v>
      </x:c>
      <x:c r="E26" s="47" t="str">
        <x:v>x</x:v>
      </x:c>
      <x:c r="F26" s="48" t="n">
        <x:v>1</x:v>
      </x:c>
      <x:c r="G26" s="48" t="n">
        <x:v>1</x:v>
      </x:c>
      <x:c r="H26" s="48" t="n">
        <x:v>100</x:v>
      </x:c>
      <x:c r="I26" s="47" t="str">
        <x:v>ADD,MUL,SET</x:v>
      </x:c>
      <x:c r="J26" s="47" t="str">
        <x:v>ADD→MUL→CLAMP</x:v>
      </x:c>
      <x:c r="K26" s="47" t="str">
        <x:v>Drug,Item,Global</x:v>
      </x:c>
      <x:c r="L26" s="47" t="n">
        <x:v>50</x:v>
      </x:c>
      <x:c r="M26" s="47" t="s">
        <x:v>176</x:v>
      </x:c>
      <x:c r="N26" s="48">
        <x:v>5</x:v>
      </x:c>
      <x:c r="O26" s="47" t="s">
        <x:v>177</x:v>
      </x:c>
      <x:c r="P26" s="47" t="s">
        <x:v>178</x:v>
      </x:c>
      <x:c r="Q26" s="47" t="s">
        <x:v>36</x:v>
      </x:c>
      <x:c r="R26" s="49" t="s">
        <x:v>179</x:v>
      </x:c>
      <x:c r="S26" s="49" t="s">
        <x:v>180</x:v>
      </x:c>
      <x:c r="T26" s="47" t="s">
        <x:v>39</x:v>
      </x:c>
      <x:c r="U26" s="50" t="str">
        <x:f t="shared" si="0"/>
        <x:v>正常</x:v>
      </x:c>
      <x:c r="V26" s="26"/>
      <x:c r="W26" s="26"/>
      <x:c r="X26" s="26"/>
    </x:row>
    <x:row r="27" ht="28" customHeight="1">
      <x:c r="A27" s="46" t="s">
        <x:v>181</x:v>
      </x:c>
      <x:c r="B27" s="46" t="str">
        <x:v>速度计分加成</x:v>
      </x:c>
      <x:c r="C27" s="46" t="s">
        <x:v>182</x:v>
      </x:c>
      <x:c r="D27" s="47" t="s">
        <x:v>61</x:v>
      </x:c>
      <x:c r="E27" s="47" t="str">
        <x:v>%</x:v>
      </x:c>
      <x:c r="F27" s="48" t="n">
        <x:v>0</x:v>
      </x:c>
      <x:c r="G27" s="48" t="n">
        <x:v>0</x:v>
      </x:c>
      <x:c r="H27" s="48" t="n">
        <x:v>3</x:v>
      </x:c>
      <x:c r="I27" s="47" t="str">
        <x:v>ADD,MUL,SET</x:v>
      </x:c>
      <x:c r="J27" s="47" t="str">
        <x:v>ADD→MUL→CLAMP</x:v>
      </x:c>
      <x:c r="K27" s="47" t="str">
        <x:v>Ball,Item</x:v>
      </x:c>
      <x:c r="L27" s="47" t="n">
        <x:v>30</x:v>
      </x:c>
      <x:c r="M27" s="47" t="s">
        <x:v>183</x:v>
      </x:c>
      <x:c r="N27" s="48">
        <x:v>0.8</x:v>
      </x:c>
      <x:c r="O27" s="47" t="s">
        <x:v>184</x:v>
      </x:c>
      <x:c r="P27" s="47" t="s">
        <x:v>185</x:v>
      </x:c>
      <x:c r="Q27" s="47" t="s">
        <x:v>36</x:v>
      </x:c>
      <x:c r="R27" s="49" t="s">
        <x:v>186</x:v>
      </x:c>
      <x:c r="S27" s="49" t="s">
        <x:v>187</x:v>
      </x:c>
      <x:c r="T27" s="47" t="s">
        <x:v>139</x:v>
      </x:c>
      <x:c r="U27" s="50" t="str">
        <x:f t="shared" si="0"/>
        <x:v>正常</x:v>
      </x:c>
      <x:c r="V27" s="26"/>
      <x:c r="W27" s="26"/>
      <x:c r="X27" s="26"/>
    </x:row>
    <x:row r="28" ht="28" customHeight="1">
      <x:c r="A28" s="46" t="s">
        <x:v>188</x:v>
      </x:c>
      <x:c r="B28" s="46" t="str">
        <x:v>超额收益转化率</x:v>
      </x:c>
      <x:c r="C28" s="46" t="s">
        <x:v>189</x:v>
      </x:c>
      <x:c r="D28" s="47" t="s">
        <x:v>32</x:v>
      </x:c>
      <x:c r="E28" s="47" t="str">
        <x:v>ratio</x:v>
      </x:c>
      <x:c r="F28" s="48" t="n">
        <x:v>0.5</x:v>
      </x:c>
      <x:c r="G28" s="48" t="n">
        <x:v>0</x:v>
      </x:c>
      <x:c r="H28" s="48" t="n">
        <x:v>5</x:v>
      </x:c>
      <x:c r="I28" s="47" t="str">
        <x:v>ADD,MUL,SET</x:v>
      </x:c>
      <x:c r="J28" s="47" t="str">
        <x:v>ADD→MUL→CLAMP</x:v>
      </x:c>
      <x:c r="K28" s="47" t="str">
        <x:v>Item,Global</x:v>
      </x:c>
      <x:c r="L28" s="47" t="n">
        <x:v>30</x:v>
      </x:c>
      <x:c r="M28" s="47" t="s">
        <x:v>190</x:v>
      </x:c>
      <x:c r="N28" s="48">
        <x:v>3</x:v>
      </x:c>
      <x:c r="O28" s="47" t="s">
        <x:v>191</x:v>
      </x:c>
      <x:c r="P28" s="47" t="s">
        <x:v>192</x:v>
      </x:c>
      <x:c r="Q28" s="47" t="s">
        <x:v>36</x:v>
      </x:c>
      <x:c r="R28" s="49" t="s">
        <x:v>193</x:v>
      </x:c>
      <x:c r="S28" s="49" t="s">
        <x:v>194</x:v>
      </x:c>
      <x:c r="T28" s="47" t="s">
        <x:v>48</x:v>
      </x:c>
      <x:c r="U28" s="50" t="str">
        <x:f t="shared" si="0"/>
        <x:v>正常</x:v>
      </x:c>
      <x:c r="V28" s="26"/>
      <x:c r="W28" s="26"/>
      <x:c r="X28" s="26"/>
    </x:row>
    <x:row r="29" ht="28" customHeight="1">
      <x:c r="A29" s="46" t="s">
        <x:v>195</x:v>
      </x:c>
      <x:c r="B29" s="46" t="str">
        <x:v>RUSH持续时间</x:v>
      </x:c>
      <x:c r="C29" s="46" t="s">
        <x:v>196</x:v>
      </x:c>
      <x:c r="D29" s="47" t="s">
        <x:v>77</x:v>
      </x:c>
      <x:c r="E29" s="47" t="str">
        <x:v>sec</x:v>
      </x:c>
      <x:c r="F29" s="48" t="n">
        <x:v>5</x:v>
      </x:c>
      <x:c r="G29" s="48" t="n">
        <x:v>1</x:v>
      </x:c>
      <x:c r="H29" s="48" t="n">
        <x:v>8</x:v>
      </x:c>
      <x:c r="I29" s="47" t="str">
        <x:v>ADD,MUL,SET</x:v>
      </x:c>
      <x:c r="J29" s="47" t="str">
        <x:v>ADD→MUL→CLAMP</x:v>
      </x:c>
      <x:c r="K29" s="47" t="str">
        <x:v>Drug,Item,Global</x:v>
      </x:c>
      <x:c r="L29" s="47" t="n">
        <x:v>30</x:v>
      </x:c>
      <x:c r="M29" s="47" t="s">
        <x:v>197</x:v>
      </x:c>
      <x:c r="N29" s="48">
        <x:v>50</x:v>
      </x:c>
      <x:c r="O29" s="47" t="s">
        <x:v>198</x:v>
      </x:c>
      <x:c r="P29" s="47" t="s">
        <x:v>199</x:v>
      </x:c>
      <x:c r="Q29" s="47" t="s">
        <x:v>36</x:v>
      </x:c>
      <x:c r="R29" s="49" t="s">
        <x:v>200</x:v>
      </x:c>
      <x:c r="S29" s="49" t="s">
        <x:v>201</x:v>
      </x:c>
      <x:c r="T29" s="47" t="s">
        <x:v>39</x:v>
      </x:c>
      <x:c r="U29" s="50" t="str">
        <x:f t="shared" si="0"/>
        <x:v>正常</x:v>
      </x:c>
      <x:c r="V29" s="26"/>
      <x:c r="W29" s="26"/>
      <x:c r="X29" s="26"/>
    </x:row>
    <x:row r="30" ht="28" customHeight="1">
      <x:c r="A30" s="46" t="s">
        <x:v>202</x:v>
      </x:c>
      <x:c r="B30" s="46" t="str">
        <x:v>RUSH得分倍率</x:v>
      </x:c>
      <x:c r="C30" s="46" t="s">
        <x:v>203</x:v>
      </x:c>
      <x:c r="D30" s="47" t="s">
        <x:v>77</x:v>
      </x:c>
      <x:c r="E30" s="47" t="str">
        <x:v>x</x:v>
      </x:c>
      <x:c r="F30" s="48" t="n">
        <x:v>2.5</x:v>
      </x:c>
      <x:c r="G30" s="48" t="n">
        <x:v>1</x:v>
      </x:c>
      <x:c r="H30" s="48" t="n">
        <x:v>20</x:v>
      </x:c>
      <x:c r="I30" s="47" t="str">
        <x:v>ADD,MUL,SET</x:v>
      </x:c>
      <x:c r="J30" s="47" t="str">
        <x:v>ADD→MUL→CLAMP</x:v>
      </x:c>
      <x:c r="K30" s="47" t="str">
        <x:v>Drug,Item,Global</x:v>
      </x:c>
      <x:c r="L30" s="47" t="n">
        <x:v>50</x:v>
      </x:c>
      <x:c r="M30" s="47" t="s">
        <x:v>204</x:v>
      </x:c>
      <x:c r="N30" s="48">
        <x:v>6</x:v>
      </x:c>
      <x:c r="O30" s="47" t="s">
        <x:v>205</x:v>
      </x:c>
      <x:c r="P30" s="47" t="s">
        <x:v>206</x:v>
      </x:c>
      <x:c r="Q30" s="47" t="s">
        <x:v>36</x:v>
      </x:c>
      <x:c r="R30" s="49" t="s">
        <x:v>207</x:v>
      </x:c>
      <x:c r="S30" s="49" t="s">
        <x:v>208</x:v>
      </x:c>
      <x:c r="T30" s="47" t="s">
        <x:v>39</x:v>
      </x:c>
      <x:c r="U30" s="50" t="str">
        <x:f t="shared" si="0"/>
        <x:v>正常</x:v>
      </x:c>
      <x:c r="V30" s="26"/>
      <x:c r="W30" s="26"/>
      <x:c r="X30" s="26"/>
    </x:row>
    <x:row r="31" ht="28" customHeight="1">
      <x:c r="A31" s="46" t="s">
        <x:v>209</x:v>
      </x:c>
      <x:c r="B31" s="46" t="str">
        <x:v>RUSH衰减速度</x:v>
      </x:c>
      <x:c r="C31" s="46" t="s">
        <x:v>210</x:v>
      </x:c>
      <x:c r="D31" s="47" t="s">
        <x:v>77</x:v>
      </x:c>
      <x:c r="E31" s="47" t="str">
        <x:v>unit/s</x:v>
      </x:c>
      <x:c r="F31" s="48" t="n">
        <x:v>1</x:v>
      </x:c>
      <x:c r="G31" s="48" t="n">
        <x:v>0</x:v>
      </x:c>
      <x:c r="H31" s="48" t="n">
        <x:v>10</x:v>
      </x:c>
      <x:c r="I31" s="47" t="str">
        <x:v>ADD,MUL,SET</x:v>
      </x:c>
      <x:c r="J31" s="47" t="str">
        <x:v>ADD→MUL→CLAMP</x:v>
      </x:c>
      <x:c r="K31" s="47" t="str">
        <x:v>Drug,Item,Global</x:v>
      </x:c>
      <x:c r="L31" s="47" t="n">
        <x:v>20</x:v>
      </x:c>
      <x:c r="M31" s="47" t="s">
        <x:v>190</x:v>
      </x:c>
      <x:c r="N31" s="48">
        <x:v>3</x:v>
      </x:c>
      <x:c r="O31" s="47" t="s">
        <x:v>211</x:v>
      </x:c>
      <x:c r="P31" s="47" t="s">
        <x:v>212</x:v>
      </x:c>
      <x:c r="Q31" s="47" t="s">
        <x:v>36</x:v>
      </x:c>
      <x:c r="R31" s="49" t="s">
        <x:v>213</x:v>
      </x:c>
      <x:c r="S31" s="49" t="s">
        <x:v>214</x:v>
      </x:c>
      <x:c r="T31" s="47" t="s">
        <x:v>48</x:v>
      </x:c>
      <x:c r="U31" s="50" t="str">
        <x:f t="shared" si="0"/>
        <x:v>正常</x:v>
      </x:c>
      <x:c r="V31" s="26"/>
      <x:c r="W31" s="26"/>
      <x:c r="X31" s="26"/>
    </x:row>
    <x:row r="32" ht="28" customHeight="1">
      <x:c r="A32" s="46" t="s">
        <x:v>215</x:v>
      </x:c>
      <x:c r="B32" s="46" t="str">
        <x:v>全损概率</x:v>
      </x:c>
      <x:c r="C32" s="46" t="s">
        <x:v>216</x:v>
      </x:c>
      <x:c r="D32" s="47" t="s">
        <x:v>69</x:v>
      </x:c>
      <x:c r="E32" s="47" t="str">
        <x:v>%</x:v>
      </x:c>
      <x:c r="F32" s="48" t="n">
        <x:v>0.3</x:v>
      </x:c>
      <x:c r="G32" s="48" t="n">
        <x:v>0</x:v>
      </x:c>
      <x:c r="H32" s="48" t="n">
        <x:v>1</x:v>
      </x:c>
      <x:c r="I32" s="47" t="str">
        <x:v>ADD,MUL,SET</x:v>
      </x:c>
      <x:c r="J32" s="47" t="str">
        <x:v>ADD→MUL→CLAMP</x:v>
      </x:c>
      <x:c r="K32" s="47" t="str">
        <x:v>Drug,Item,Global</x:v>
      </x:c>
      <x:c r="L32" s="47" t="n">
        <x:v>20</x:v>
      </x:c>
      <x:c r="M32" s="47" t="s">
        <x:v>217</x:v>
      </x:c>
      <x:c r="N32" s="48">
        <x:v>0.7</x:v>
      </x:c>
      <x:c r="O32" s="47" t="s">
        <x:v>218</x:v>
      </x:c>
      <x:c r="P32" s="47" t="s">
        <x:v>219</x:v>
      </x:c>
      <x:c r="Q32" s="47" t="s">
        <x:v>36</x:v>
      </x:c>
      <x:c r="R32" s="49" t="s">
        <x:v>220</x:v>
      </x:c>
      <x:c r="S32" s="49" t="s">
        <x:v>221</x:v>
      </x:c>
      <x:c r="T32" s="47" t="s">
        <x:v>48</x:v>
      </x:c>
      <x:c r="U32" s="50" t="str">
        <x:f t="shared" si="0"/>
        <x:v>正常</x:v>
      </x:c>
      <x:c r="V32" s="26"/>
      <x:c r="W32" s="26"/>
      <x:c r="X32" s="26"/>
    </x:row>
    <x:row r="33" ht="28" customHeight="1">
      <x:c r="A33" s="46" t="s">
        <x:v>222</x:v>
      </x:c>
      <x:c r="B33" s="46" t="str">
        <x:v>返还概率</x:v>
      </x:c>
      <x:c r="C33" s="46" t="s">
        <x:v>223</x:v>
      </x:c>
      <x:c r="D33" s="47" t="s">
        <x:v>69</x:v>
      </x:c>
      <x:c r="E33" s="47" t="str">
        <x:v>%</x:v>
      </x:c>
      <x:c r="F33" s="48" t="n">
        <x:v>0.3</x:v>
      </x:c>
      <x:c r="G33" s="48" t="n">
        <x:v>0</x:v>
      </x:c>
      <x:c r="H33" s="48" t="n">
        <x:v>1</x:v>
      </x:c>
      <x:c r="I33" s="47" t="str">
        <x:v>ADD,MUL,SET</x:v>
      </x:c>
      <x:c r="J33" s="47" t="str">
        <x:v>ADD→MUL→CLAMP</x:v>
      </x:c>
      <x:c r="K33" s="47" t="str">
        <x:v>Drug,Item,Global</x:v>
      </x:c>
      <x:c r="L33" s="47" t="n">
        <x:v>20</x:v>
      </x:c>
      <x:c r="M33" s="47" t="s">
        <x:v>224</x:v>
      </x:c>
      <x:c r="N33" s="48">
        <x:v>0.7</x:v>
      </x:c>
      <x:c r="O33" s="47" t="s">
        <x:v>225</x:v>
      </x:c>
      <x:c r="P33" s="47" t="s">
        <x:v>226</x:v>
      </x:c>
      <x:c r="Q33" s="47" t="s">
        <x:v>36</x:v>
      </x:c>
      <x:c r="R33" s="49" t="s">
        <x:v>227</x:v>
      </x:c>
      <x:c r="S33" s="49" t="s">
        <x:v>228</x:v>
      </x:c>
      <x:c r="T33" s="47" t="s">
        <x:v>48</x:v>
      </x:c>
      <x:c r="U33" s="50" t="str">
        <x:f t="shared" si="0"/>
        <x:v>正常</x:v>
      </x:c>
      <x:c r="V33" s="26"/>
      <x:c r="W33" s="26"/>
      <x:c r="X33" s="26"/>
    </x:row>
    <x:row r="34" ht="28" customHeight="1">
      <x:c r="A34" s="46" t="s">
        <x:v>229</x:v>
      </x:c>
      <x:c r="B34" s="46" t="str">
        <x:v>双倍概率</x:v>
      </x:c>
      <x:c r="C34" s="46" t="s">
        <x:v>230</x:v>
      </x:c>
      <x:c r="D34" s="47" t="s">
        <x:v>69</x:v>
      </x:c>
      <x:c r="E34" s="47" t="str">
        <x:v>%</x:v>
      </x:c>
      <x:c r="F34" s="48" t="n">
        <x:v>0.25</x:v>
      </x:c>
      <x:c r="G34" s="48" t="n">
        <x:v>0</x:v>
      </x:c>
      <x:c r="H34" s="48" t="n">
        <x:v>1</x:v>
      </x:c>
      <x:c r="I34" s="47" t="str">
        <x:v>ADD,MUL,SET</x:v>
      </x:c>
      <x:c r="J34" s="47" t="str">
        <x:v>ADD→MUL→CLAMP</x:v>
      </x:c>
      <x:c r="K34" s="47" t="str">
        <x:v>Drug,Item,Global</x:v>
      </x:c>
      <x:c r="L34" s="47" t="n">
        <x:v>20</x:v>
      </x:c>
      <x:c r="M34" s="47" t="s">
        <x:v>231</x:v>
      </x:c>
      <x:c r="N34" s="48">
        <x:v>0.65</x:v>
      </x:c>
      <x:c r="O34" s="47" t="s">
        <x:v>232</x:v>
      </x:c>
      <x:c r="P34" s="47" t="s">
        <x:v>233</x:v>
      </x:c>
      <x:c r="Q34" s="47" t="s">
        <x:v>36</x:v>
      </x:c>
      <x:c r="R34" s="49" t="s">
        <x:v>234</x:v>
      </x:c>
      <x:c r="S34" s="49" t="s">
        <x:v>235</x:v>
      </x:c>
      <x:c r="T34" s="47" t="s">
        <x:v>48</x:v>
      </x:c>
      <x:c r="U34" s="50" t="str">
        <x:f t="shared" si="0"/>
        <x:v>正常</x:v>
      </x:c>
      <x:c r="V34" s="26"/>
      <x:c r="W34" s="26"/>
      <x:c r="X34" s="26"/>
    </x:row>
    <x:row r="35" ht="28" customHeight="1">
      <x:c r="A35" s="46" t="s">
        <x:v>236</x:v>
      </x:c>
      <x:c r="B35" s="46" t="str">
        <x:v>赌博池价值</x:v>
      </x:c>
      <x:c r="C35" s="46" t="s">
        <x:v>237</x:v>
      </x:c>
      <x:c r="D35" s="47" t="s">
        <x:v>69</x:v>
      </x:c>
      <x:c r="E35" s="47" t="str">
        <x:v>x</x:v>
      </x:c>
      <x:c r="F35" s="48" t="n">
        <x:v>1</x:v>
      </x:c>
      <x:c r="G35" s="48" t="n">
        <x:v>0</x:v>
      </x:c>
      <x:c r="H35" s="48" t="n">
        <x:v>10</x:v>
      </x:c>
      <x:c r="I35" s="47" t="str">
        <x:v>ADD,MUL,SET</x:v>
      </x:c>
      <x:c r="J35" s="47" t="str">
        <x:v>ADD→MUL→CLAMP</x:v>
      </x:c>
      <x:c r="K35" s="47" t="str">
        <x:v>Ball,Drug,Item</x:v>
      </x:c>
      <x:c r="L35" s="47" t="n">
        <x:v>30</x:v>
      </x:c>
      <x:c r="M35" s="47" t="s">
        <x:v>190</x:v>
      </x:c>
      <x:c r="N35" s="48">
        <x:v>3</x:v>
      </x:c>
      <x:c r="O35" s="47" t="s">
        <x:v>238</x:v>
      </x:c>
      <x:c r="P35" s="47" t="s">
        <x:v>239</x:v>
      </x:c>
      <x:c r="Q35" s="47" t="s">
        <x:v>36</x:v>
      </x:c>
      <x:c r="R35" s="49" t="s">
        <x:v>240</x:v>
      </x:c>
      <x:c r="S35" s="49" t="s">
        <x:v>241</x:v>
      </x:c>
      <x:c r="T35" s="47" t="s">
        <x:v>48</x:v>
      </x:c>
      <x:c r="U35" s="50" t="str">
        <x:f t="shared" si="0"/>
        <x:v>正常</x:v>
      </x:c>
      <x:c r="V35" s="26"/>
      <x:c r="W35" s="26"/>
      <x:c r="X35" s="26"/>
    </x:row>
    <x:row r="36" ht="28" customHeight="1">
      <x:c r="A36" s="46" t="s">
        <x:v>242</x:v>
      </x:c>
      <x:c r="B36" s="46" t="str">
        <x:v>机关触发率</x:v>
      </x:c>
      <x:c r="C36" s="46" t="s">
        <x:v>243</x:v>
      </x:c>
      <x:c r="D36" s="47" t="s">
        <x:v>244</x:v>
      </x:c>
      <x:c r="E36" s="47" t="str">
        <x:v>x</x:v>
      </x:c>
      <x:c r="F36" s="48" t="n">
        <x:v>1</x:v>
      </x:c>
      <x:c r="G36" s="48" t="n">
        <x:v>0</x:v>
      </x:c>
      <x:c r="H36" s="48" t="n">
        <x:v>10</x:v>
      </x:c>
      <x:c r="I36" s="47" t="str">
        <x:v>ADD,MUL,SET</x:v>
      </x:c>
      <x:c r="J36" s="47" t="str">
        <x:v>ADD→MUL→CLAMP</x:v>
      </x:c>
      <x:c r="K36" s="47" t="str">
        <x:v>Ball,Drug,Item,Device</x:v>
      </x:c>
      <x:c r="L36" s="47" t="n">
        <x:v>20</x:v>
      </x:c>
      <x:c r="M36" s="47" t="s">
        <x:v>190</x:v>
      </x:c>
      <x:c r="N36" s="48">
        <x:v>3</x:v>
      </x:c>
      <x:c r="O36" s="47" t="s">
        <x:v>245</x:v>
      </x:c>
      <x:c r="P36" s="47" t="s">
        <x:v>246</x:v>
      </x:c>
      <x:c r="Q36" s="47" t="s">
        <x:v>36</x:v>
      </x:c>
      <x:c r="R36" s="49" t="s">
        <x:v>247</x:v>
      </x:c>
      <x:c r="S36" s="49" t="s">
        <x:v>248</x:v>
      </x:c>
      <x:c r="T36" s="47" t="s">
        <x:v>48</x:v>
      </x:c>
      <x:c r="U36" s="50" t="str">
        <x:f t="shared" si="0"/>
        <x:v>正常</x:v>
      </x:c>
      <x:c r="V36" s="26"/>
      <x:c r="W36" s="26"/>
      <x:c r="X36" s="26"/>
    </x:row>
    <x:row r="37" ht="28" customHeight="1">
      <x:c r="A37" s="46" t="s">
        <x:v>249</x:v>
      </x:c>
      <x:c r="B37" s="46" t="str">
        <x:v>机关冷却</x:v>
      </x:c>
      <x:c r="C37" s="46" t="s">
        <x:v>250</x:v>
      </x:c>
      <x:c r="D37" s="47" t="s">
        <x:v>244</x:v>
      </x:c>
      <x:c r="E37" s="47" t="str">
        <x:v>sec</x:v>
      </x:c>
      <x:c r="F37" s="48" t="n">
        <x:v>1</x:v>
      </x:c>
      <x:c r="G37" s="48" t="n">
        <x:v>0</x:v>
      </x:c>
      <x:c r="H37" s="48" t="n">
        <x:v>60</x:v>
      </x:c>
      <x:c r="I37" s="47" t="str">
        <x:v>ADD,MUL,SET</x:v>
      </x:c>
      <x:c r="J37" s="47" t="str">
        <x:v>ADD→MUL→CLAMP</x:v>
      </x:c>
      <x:c r="K37" s="47" t="str">
        <x:v>Drug,Item,Device</x:v>
      </x:c>
      <x:c r="L37" s="47" t="n">
        <x:v>20</x:v>
      </x:c>
      <x:c r="M37" s="47" t="s">
        <x:v>251</x:v>
      </x:c>
      <x:c r="N37" s="48">
        <x:v>10</x:v>
      </x:c>
      <x:c r="O37" s="47" t="s">
        <x:v>252</x:v>
      </x:c>
      <x:c r="P37" s="47" t="s">
        <x:v>253</x:v>
      </x:c>
      <x:c r="Q37" s="47" t="s">
        <x:v>36</x:v>
      </x:c>
      <x:c r="R37" s="49" t="s">
        <x:v>254</x:v>
      </x:c>
      <x:c r="S37" s="49" t="s">
        <x:v>255</x:v>
      </x:c>
      <x:c r="T37" s="47" t="s">
        <x:v>48</x:v>
      </x:c>
      <x:c r="U37" s="50" t="str">
        <x:f t="shared" si="0"/>
        <x:v>正常</x:v>
      </x:c>
      <x:c r="V37" s="26"/>
      <x:c r="W37" s="26"/>
      <x:c r="X37" s="26"/>
    </x:row>
    <x:row r="38" ht="28" customHeight="1">
      <x:c r="A38" s="46" t="s">
        <x:v>256</x:v>
      </x:c>
      <x:c r="B38" s="46" t="str">
        <x:v>商店价格修正</x:v>
      </x:c>
      <x:c r="C38" s="46" t="s">
        <x:v>257</x:v>
      </x:c>
      <x:c r="D38" s="47" t="s">
        <x:v>32</x:v>
      </x:c>
      <x:c r="E38" s="47" t="str">
        <x:v>x</x:v>
      </x:c>
      <x:c r="F38" s="48" t="n">
        <x:v>1</x:v>
      </x:c>
      <x:c r="G38" s="48" t="n">
        <x:v>0.1</x:v>
      </x:c>
      <x:c r="H38" s="48" t="n">
        <x:v>5</x:v>
      </x:c>
      <x:c r="I38" s="47" t="str">
        <x:v>ADD,MUL,SET</x:v>
      </x:c>
      <x:c r="J38" s="47" t="str">
        <x:v>ADD→MUL→CLAMP</x:v>
      </x:c>
      <x:c r="K38" s="47" t="str">
        <x:v>Item,Global</x:v>
      </x:c>
      <x:c r="L38" s="47" t="n">
        <x:v>20</x:v>
      </x:c>
      <x:c r="M38" s="47" t="s">
        <x:v>258</x:v>
      </x:c>
      <x:c r="N38" s="48">
        <x:v>1.8</x:v>
      </x:c>
      <x:c r="O38" s="47" t="s">
        <x:v>259</x:v>
      </x:c>
      <x:c r="P38" s="47" t="s">
        <x:v>260</x:v>
      </x:c>
      <x:c r="Q38" s="47" t="s">
        <x:v>36</x:v>
      </x:c>
      <x:c r="R38" s="49" t="s">
        <x:v>261</x:v>
      </x:c>
      <x:c r="S38" s="49" t="s">
        <x:v>262</x:v>
      </x:c>
      <x:c r="T38" s="47" t="s">
        <x:v>48</x:v>
      </x:c>
      <x:c r="U38" s="50" t="str">
        <x:f t="shared" si="0"/>
        <x:v>正常</x:v>
      </x:c>
      <x:c r="V38" s="26"/>
      <x:c r="W38" s="26"/>
      <x:c r="X38" s="26"/>
    </x:row>
    <x:row r="39" ht="28" customHeight="1">
      <x:c r="A39" s="46" t="s">
        <x:v>263</x:v>
      </x:c>
      <x:c r="B39" s="46" t="str">
        <x:v>金币获取率</x:v>
      </x:c>
      <x:c r="C39" s="46" t="s">
        <x:v>264</x:v>
      </x:c>
      <x:c r="D39" s="47" t="s">
        <x:v>32</x:v>
      </x:c>
      <x:c r="E39" s="47" t="str">
        <x:v>x</x:v>
      </x:c>
      <x:c r="F39" s="48" t="n">
        <x:v>0.6</x:v>
      </x:c>
      <x:c r="G39" s="48" t="n">
        <x:v>0</x:v>
      </x:c>
      <x:c r="H39" s="48" t="n">
        <x:v>10</x:v>
      </x:c>
      <x:c r="I39" s="47" t="str">
        <x:v>ADD,MUL,SET</x:v>
      </x:c>
      <x:c r="J39" s="47" t="str">
        <x:v>ADD→MUL→CLAMP</x:v>
      </x:c>
      <x:c r="K39" s="47" t="str">
        <x:v>Item,Global</x:v>
      </x:c>
      <x:c r="L39" s="47" t="n">
        <x:v>30</x:v>
      </x:c>
      <x:c r="M39" s="47" t="s">
        <x:v>265</x:v>
      </x:c>
      <x:c r="N39" s="48">
        <x:v>3</x:v>
      </x:c>
      <x:c r="O39" s="47" t="s">
        <x:v>266</x:v>
      </x:c>
      <x:c r="P39" s="47" t="s">
        <x:v>267</x:v>
      </x:c>
      <x:c r="Q39" s="47" t="s">
        <x:v>36</x:v>
      </x:c>
      <x:c r="R39" s="49" t="s">
        <x:v>268</x:v>
      </x:c>
      <x:c r="S39" s="49" t="s">
        <x:v>269</x:v>
      </x:c>
      <x:c r="T39" s="47" t="s">
        <x:v>48</x:v>
      </x:c>
      <x:c r="U39" s="50" t="str">
        <x:f t="shared" si="0"/>
        <x:v>正常</x:v>
      </x:c>
      <x:c r="V39" s="26"/>
      <x:c r="W39" s="26"/>
      <x:c r="X39" s="26"/>
    </x:row>
    <x:row r="40" ht="28" customHeight="1">
      <x:c r="A40" s="46"/>
      <x:c r="B40" s="46"/>
      <x:c r="C40" s="46"/>
      <x:c r="D40" s="47"/>
      <x:c r="E40" s="47"/>
      <x:c r="F40" s="48"/>
      <x:c r="G40" s="48"/>
      <x:c r="H40" s="48"/>
      <x:c r="I40" s="47"/>
      <x:c r="J40" s="47"/>
      <x:c r="K40" s="47"/>
      <x:c r="L40" s="47"/>
      <x:c r="M40" s="47"/>
      <x:c r="N40" s="48"/>
      <x:c r="O40" s="47"/>
      <x:c r="P40" s="47"/>
      <x:c r="Q40" s="47"/>
      <x:c r="R40" s="49"/>
      <x:c r="S40" s="49"/>
      <x:c r="T40" s="47"/>
      <x:c r="U40" s="50" t="str">
        <x:f t="shared" si="0"/>
      </x:c>
      <x:c r="V40" s="26"/>
      <x:c r="W40" s="26"/>
      <x:c r="X40" s="26"/>
    </x:row>
    <x:row r="41" ht="28" customHeight="1">
      <x:c r="A41" s="46"/>
      <x:c r="B41" s="46"/>
      <x:c r="C41" s="46"/>
      <x:c r="D41" s="47"/>
      <x:c r="E41" s="47"/>
      <x:c r="F41" s="48"/>
      <x:c r="G41" s="48"/>
      <x:c r="H41" s="48"/>
      <x:c r="I41" s="47"/>
      <x:c r="J41" s="47"/>
      <x:c r="K41" s="47"/>
      <x:c r="L41" s="47"/>
      <x:c r="M41" s="47"/>
      <x:c r="N41" s="48"/>
      <x:c r="O41" s="47"/>
      <x:c r="P41" s="47"/>
      <x:c r="Q41" s="47"/>
      <x:c r="R41" s="49"/>
      <x:c r="S41" s="49"/>
      <x:c r="T41" s="47"/>
      <x:c r="U41" s="50" t="str">
        <x:f t="shared" si="0"/>
      </x:c>
      <x:c r="V41" s="26"/>
      <x:c r="W41" s="26"/>
      <x:c r="X41" s="26"/>
    </x:row>
    <x:row r="42" ht="28" customHeight="1">
      <x:c r="A42" s="46"/>
      <x:c r="B42" s="46"/>
      <x:c r="C42" s="46"/>
      <x:c r="D42" s="47"/>
      <x:c r="E42" s="47"/>
      <x:c r="F42" s="48"/>
      <x:c r="G42" s="48"/>
      <x:c r="H42" s="48"/>
      <x:c r="I42" s="47"/>
      <x:c r="J42" s="47"/>
      <x:c r="K42" s="47"/>
      <x:c r="L42" s="47"/>
      <x:c r="M42" s="47"/>
      <x:c r="N42" s="48"/>
      <x:c r="O42" s="47"/>
      <x:c r="P42" s="47"/>
      <x:c r="Q42" s="47"/>
      <x:c r="R42" s="49"/>
      <x:c r="S42" s="49"/>
      <x:c r="T42" s="47"/>
      <x:c r="U42" s="50" t="str">
        <x:f t="shared" si="0"/>
      </x:c>
      <x:c r="V42" s="26"/>
      <x:c r="W42" s="26"/>
      <x:c r="X42" s="26"/>
    </x:row>
    <x:row r="43" ht="28" customHeight="1">
      <x:c r="A43" s="46"/>
      <x:c r="B43" s="46"/>
      <x:c r="C43" s="46"/>
      <x:c r="D43" s="47"/>
      <x:c r="E43" s="47"/>
      <x:c r="F43" s="48"/>
      <x:c r="G43" s="48"/>
      <x:c r="H43" s="48"/>
      <x:c r="I43" s="47"/>
      <x:c r="J43" s="47"/>
      <x:c r="K43" s="47"/>
      <x:c r="L43" s="47"/>
      <x:c r="M43" s="47"/>
      <x:c r="N43" s="48"/>
      <x:c r="O43" s="47"/>
      <x:c r="P43" s="47"/>
      <x:c r="Q43" s="47"/>
      <x:c r="R43" s="49"/>
      <x:c r="S43" s="49"/>
      <x:c r="T43" s="47"/>
      <x:c r="U43" s="50" t="str">
        <x:f t="shared" si="0"/>
      </x:c>
      <x:c r="V43" s="26"/>
      <x:c r="W43" s="26"/>
      <x:c r="X43" s="26"/>
    </x:row>
    <x:row r="44" ht="28" customHeight="1">
      <x:c r="A44" s="46"/>
      <x:c r="B44" s="46"/>
      <x:c r="C44" s="46"/>
      <x:c r="D44" s="47"/>
      <x:c r="E44" s="47"/>
      <x:c r="F44" s="48"/>
      <x:c r="G44" s="48"/>
      <x:c r="H44" s="48"/>
      <x:c r="I44" s="47"/>
      <x:c r="J44" s="47"/>
      <x:c r="K44" s="47"/>
      <x:c r="L44" s="47"/>
      <x:c r="M44" s="47"/>
      <x:c r="N44" s="48"/>
      <x:c r="O44" s="47"/>
      <x:c r="P44" s="47"/>
      <x:c r="Q44" s="47"/>
      <x:c r="R44" s="49"/>
      <x:c r="S44" s="49"/>
      <x:c r="T44" s="47"/>
      <x:c r="U44" s="50" t="str">
        <x:f t="shared" si="0"/>
      </x:c>
      <x:c r="V44" s="26"/>
      <x:c r="W44" s="26"/>
      <x:c r="X44" s="26"/>
    </x:row>
    <x:row r="45" ht="28" customHeight="1">
      <x:c r="A45" s="46"/>
      <x:c r="B45" s="46"/>
      <x:c r="C45" s="46"/>
      <x:c r="D45" s="47"/>
      <x:c r="E45" s="47"/>
      <x:c r="F45" s="48"/>
      <x:c r="G45" s="48"/>
      <x:c r="H45" s="48"/>
      <x:c r="I45" s="47"/>
      <x:c r="J45" s="47"/>
      <x:c r="K45" s="47"/>
      <x:c r="L45" s="47"/>
      <x:c r="M45" s="47"/>
      <x:c r="N45" s="48"/>
      <x:c r="O45" s="47"/>
      <x:c r="P45" s="47"/>
      <x:c r="Q45" s="47"/>
      <x:c r="R45" s="49"/>
      <x:c r="S45" s="49"/>
      <x:c r="T45" s="47"/>
      <x:c r="U45" s="50" t="str">
        <x:f t="shared" si="0"/>
      </x:c>
      <x:c r="V45" s="26"/>
      <x:c r="W45" s="26"/>
      <x:c r="X45" s="26"/>
    </x:row>
    <x:row r="46" ht="28" customHeight="1">
      <x:c r="A46" s="46"/>
      <x:c r="B46" s="46"/>
      <x:c r="C46" s="46"/>
      <x:c r="D46" s="47"/>
      <x:c r="E46" s="47"/>
      <x:c r="F46" s="48"/>
      <x:c r="G46" s="48"/>
      <x:c r="H46" s="48"/>
      <x:c r="I46" s="47"/>
      <x:c r="J46" s="47"/>
      <x:c r="K46" s="47"/>
      <x:c r="L46" s="47"/>
      <x:c r="M46" s="47"/>
      <x:c r="N46" s="48"/>
      <x:c r="O46" s="47"/>
      <x:c r="P46" s="47"/>
      <x:c r="Q46" s="47"/>
      <x:c r="R46" s="49"/>
      <x:c r="S46" s="49"/>
      <x:c r="T46" s="47"/>
      <x:c r="U46" s="50" t="str">
        <x:f t="shared" si="0"/>
      </x:c>
      <x:c r="V46" s="26"/>
      <x:c r="W46" s="26"/>
      <x:c r="X46" s="26"/>
    </x:row>
    <x:row r="47" ht="28" customHeight="1">
      <x:c r="A47" s="46"/>
      <x:c r="B47" s="46"/>
      <x:c r="C47" s="46"/>
      <x:c r="D47" s="47"/>
      <x:c r="E47" s="47"/>
      <x:c r="F47" s="48"/>
      <x:c r="G47" s="48"/>
      <x:c r="H47" s="48"/>
      <x:c r="I47" s="47"/>
      <x:c r="J47" s="47"/>
      <x:c r="K47" s="47"/>
      <x:c r="L47" s="47"/>
      <x:c r="M47" s="47"/>
      <x:c r="N47" s="48"/>
      <x:c r="O47" s="47"/>
      <x:c r="P47" s="47"/>
      <x:c r="Q47" s="47"/>
      <x:c r="R47" s="49"/>
      <x:c r="S47" s="49"/>
      <x:c r="T47" s="47"/>
      <x:c r="U47" s="50" t="str">
        <x:f t="shared" si="0"/>
      </x:c>
      <x:c r="V47" s="26"/>
      <x:c r="W47" s="26"/>
      <x:c r="X47" s="26"/>
    </x:row>
    <x:row r="48" ht="28" customHeight="1">
      <x:c r="A48" s="46"/>
      <x:c r="B48" s="46"/>
      <x:c r="C48" s="46"/>
      <x:c r="D48" s="47"/>
      <x:c r="E48" s="47"/>
      <x:c r="F48" s="48"/>
      <x:c r="G48" s="48"/>
      <x:c r="H48" s="48"/>
      <x:c r="I48" s="47"/>
      <x:c r="J48" s="47"/>
      <x:c r="K48" s="47"/>
      <x:c r="L48" s="47"/>
      <x:c r="M48" s="47"/>
      <x:c r="N48" s="48"/>
      <x:c r="O48" s="47"/>
      <x:c r="P48" s="47"/>
      <x:c r="Q48" s="47"/>
      <x:c r="R48" s="49"/>
      <x:c r="S48" s="49"/>
      <x:c r="T48" s="47"/>
      <x:c r="U48" s="50" t="str">
        <x:f t="shared" si="0"/>
      </x:c>
      <x:c r="V48" s="26"/>
      <x:c r="W48" s="26"/>
      <x:c r="X48" s="26"/>
    </x:row>
    <x:row r="49" ht="28" customHeight="1">
      <x:c r="A49" s="46"/>
      <x:c r="B49" s="46"/>
      <x:c r="C49" s="46"/>
      <x:c r="D49" s="47"/>
      <x:c r="E49" s="47"/>
      <x:c r="F49" s="48"/>
      <x:c r="G49" s="48"/>
      <x:c r="H49" s="48"/>
      <x:c r="I49" s="47"/>
      <x:c r="J49" s="47"/>
      <x:c r="K49" s="47"/>
      <x:c r="L49" s="47"/>
      <x:c r="M49" s="47"/>
      <x:c r="N49" s="48"/>
      <x:c r="O49" s="47"/>
      <x:c r="P49" s="47"/>
      <x:c r="Q49" s="47"/>
      <x:c r="R49" s="49"/>
      <x:c r="S49" s="49"/>
      <x:c r="T49" s="47"/>
      <x:c r="U49" s="50" t="str">
        <x:f t="shared" si="0"/>
      </x:c>
      <x:c r="V49" s="26"/>
      <x:c r="W49" s="26"/>
      <x:c r="X49" s="26"/>
    </x:row>
    <x:row r="50" ht="28" customHeight="1">
      <x:c r="A50" s="46"/>
      <x:c r="B50" s="46"/>
      <x:c r="C50" s="46"/>
      <x:c r="D50" s="47"/>
      <x:c r="E50" s="47"/>
      <x:c r="F50" s="48"/>
      <x:c r="G50" s="48"/>
      <x:c r="H50" s="48"/>
      <x:c r="I50" s="47"/>
      <x:c r="J50" s="47"/>
      <x:c r="K50" s="47"/>
      <x:c r="L50" s="47"/>
      <x:c r="M50" s="47"/>
      <x:c r="N50" s="48"/>
      <x:c r="O50" s="47"/>
      <x:c r="P50" s="47"/>
      <x:c r="Q50" s="47"/>
      <x:c r="R50" s="49"/>
      <x:c r="S50" s="49"/>
      <x:c r="T50" s="47"/>
      <x:c r="U50" s="50" t="str">
        <x:f t="shared" si="0"/>
      </x:c>
      <x:c r="V50" s="26"/>
      <x:c r="W50" s="26"/>
      <x:c r="X50" s="26"/>
    </x:row>
    <x:row r="51" ht="28" customHeight="1">
      <x:c r="A51" s="46"/>
      <x:c r="B51" s="46"/>
      <x:c r="C51" s="46"/>
      <x:c r="D51" s="47"/>
      <x:c r="E51" s="47"/>
      <x:c r="F51" s="48"/>
      <x:c r="G51" s="48"/>
      <x:c r="H51" s="48"/>
      <x:c r="I51" s="47"/>
      <x:c r="J51" s="47"/>
      <x:c r="K51" s="47"/>
      <x:c r="L51" s="47"/>
      <x:c r="M51" s="47"/>
      <x:c r="N51" s="48"/>
      <x:c r="O51" s="47"/>
      <x:c r="P51" s="47"/>
      <x:c r="Q51" s="47"/>
      <x:c r="R51" s="49"/>
      <x:c r="S51" s="49"/>
      <x:c r="T51" s="47"/>
      <x:c r="U51" s="50" t="str">
        <x:f t="shared" si="0"/>
      </x:c>
      <x:c r="V51" s="26"/>
      <x:c r="W51" s="26"/>
      <x:c r="X51" s="26"/>
    </x:row>
    <x:row r="52" ht="28" customHeight="1">
      <x:c r="A52" s="46"/>
      <x:c r="B52" s="46"/>
      <x:c r="C52" s="46"/>
      <x:c r="D52" s="47"/>
      <x:c r="E52" s="47"/>
      <x:c r="F52" s="48"/>
      <x:c r="G52" s="48"/>
      <x:c r="H52" s="48"/>
      <x:c r="I52" s="47"/>
      <x:c r="J52" s="47"/>
      <x:c r="K52" s="47"/>
      <x:c r="L52" s="47"/>
      <x:c r="M52" s="47"/>
      <x:c r="N52" s="48"/>
      <x:c r="O52" s="47"/>
      <x:c r="P52" s="47"/>
      <x:c r="Q52" s="47"/>
      <x:c r="R52" s="49"/>
      <x:c r="S52" s="49"/>
      <x:c r="T52" s="47"/>
      <x:c r="U52" s="50" t="str">
        <x:f t="shared" si="0"/>
      </x:c>
      <x:c r="V52" s="26"/>
      <x:c r="W52" s="26"/>
      <x:c r="X52" s="26"/>
    </x:row>
    <x:row r="53" ht="28" customHeight="1">
      <x:c r="A53" s="46"/>
      <x:c r="B53" s="46"/>
      <x:c r="C53" s="46"/>
      <x:c r="D53" s="47"/>
      <x:c r="E53" s="47"/>
      <x:c r="F53" s="48"/>
      <x:c r="G53" s="48"/>
      <x:c r="H53" s="48"/>
      <x:c r="I53" s="47"/>
      <x:c r="J53" s="47"/>
      <x:c r="K53" s="47"/>
      <x:c r="L53" s="47"/>
      <x:c r="M53" s="47"/>
      <x:c r="N53" s="48"/>
      <x:c r="O53" s="47"/>
      <x:c r="P53" s="47"/>
      <x:c r="Q53" s="47"/>
      <x:c r="R53" s="49"/>
      <x:c r="S53" s="49"/>
      <x:c r="T53" s="47"/>
      <x:c r="U53" s="50" t="str">
        <x:f t="shared" si="0"/>
      </x:c>
      <x:c r="V53" s="26"/>
      <x:c r="W53" s="26"/>
      <x:c r="X53" s="26"/>
    </x:row>
    <x:row r="54" ht="28" customHeight="1">
      <x:c r="A54" s="46"/>
      <x:c r="B54" s="46"/>
      <x:c r="C54" s="46"/>
      <x:c r="D54" s="47"/>
      <x:c r="E54" s="47"/>
      <x:c r="F54" s="48"/>
      <x:c r="G54" s="48"/>
      <x:c r="H54" s="48"/>
      <x:c r="I54" s="47"/>
      <x:c r="J54" s="47"/>
      <x:c r="K54" s="47"/>
      <x:c r="L54" s="47"/>
      <x:c r="M54" s="47"/>
      <x:c r="N54" s="48"/>
      <x:c r="O54" s="47"/>
      <x:c r="P54" s="47"/>
      <x:c r="Q54" s="47"/>
      <x:c r="R54" s="49"/>
      <x:c r="S54" s="49"/>
      <x:c r="T54" s="47"/>
      <x:c r="U54" s="50" t="str">
        <x:f t="shared" si="0"/>
      </x:c>
      <x:c r="V54" s="26"/>
      <x:c r="W54" s="26"/>
      <x:c r="X54" s="26"/>
    </x:row>
    <x:row r="55" ht="28" customHeight="1">
      <x:c r="A55" s="46"/>
      <x:c r="B55" s="46"/>
      <x:c r="C55" s="46"/>
      <x:c r="D55" s="47"/>
      <x:c r="E55" s="47"/>
      <x:c r="F55" s="48"/>
      <x:c r="G55" s="48"/>
      <x:c r="H55" s="48"/>
      <x:c r="I55" s="47"/>
      <x:c r="J55" s="47"/>
      <x:c r="K55" s="47"/>
      <x:c r="L55" s="47"/>
      <x:c r="M55" s="47"/>
      <x:c r="N55" s="48"/>
      <x:c r="O55" s="47"/>
      <x:c r="P55" s="47"/>
      <x:c r="Q55" s="47"/>
      <x:c r="R55" s="49"/>
      <x:c r="S55" s="49"/>
      <x:c r="T55" s="47"/>
      <x:c r="U55" s="50" t="str">
        <x:f t="shared" si="0"/>
      </x:c>
      <x:c r="V55" s="26"/>
      <x:c r="W55" s="26"/>
      <x:c r="X55" s="26"/>
    </x:row>
    <x:row r="56" ht="28" customHeight="1">
      <x:c r="A56" s="46"/>
      <x:c r="B56" s="46"/>
      <x:c r="C56" s="46"/>
      <x:c r="D56" s="47"/>
      <x:c r="E56" s="47"/>
      <x:c r="F56" s="48"/>
      <x:c r="G56" s="48"/>
      <x:c r="H56" s="48"/>
      <x:c r="I56" s="47"/>
      <x:c r="J56" s="47"/>
      <x:c r="K56" s="47"/>
      <x:c r="L56" s="47"/>
      <x:c r="M56" s="47"/>
      <x:c r="N56" s="48"/>
      <x:c r="O56" s="47"/>
      <x:c r="P56" s="47"/>
      <x:c r="Q56" s="47"/>
      <x:c r="R56" s="49"/>
      <x:c r="S56" s="49"/>
      <x:c r="T56" s="47"/>
      <x:c r="U56" s="50" t="str">
        <x:f t="shared" si="0"/>
      </x:c>
      <x:c r="V56" s="26"/>
      <x:c r="W56" s="26"/>
      <x:c r="X56" s="26"/>
    </x:row>
    <x:row r="57" ht="28" customHeight="1">
      <x:c r="A57" s="46"/>
      <x:c r="B57" s="46"/>
      <x:c r="C57" s="46"/>
      <x:c r="D57" s="47"/>
      <x:c r="E57" s="47"/>
      <x:c r="F57" s="48"/>
      <x:c r="G57" s="48"/>
      <x:c r="H57" s="48"/>
      <x:c r="I57" s="47"/>
      <x:c r="J57" s="47"/>
      <x:c r="K57" s="47"/>
      <x:c r="L57" s="47"/>
      <x:c r="M57" s="47"/>
      <x:c r="N57" s="48"/>
      <x:c r="O57" s="47"/>
      <x:c r="P57" s="47"/>
      <x:c r="Q57" s="47"/>
      <x:c r="R57" s="49"/>
      <x:c r="S57" s="49"/>
      <x:c r="T57" s="47"/>
      <x:c r="U57" s="50" t="str">
        <x:f t="shared" si="0"/>
      </x:c>
      <x:c r="V57" s="26"/>
      <x:c r="W57" s="26"/>
      <x:c r="X57" s="26"/>
    </x:row>
    <x:row r="58" ht="28" customHeight="1">
      <x:c r="A58" s="46"/>
      <x:c r="B58" s="46"/>
      <x:c r="C58" s="46"/>
      <x:c r="D58" s="47"/>
      <x:c r="E58" s="47"/>
      <x:c r="F58" s="48"/>
      <x:c r="G58" s="48"/>
      <x:c r="H58" s="48"/>
      <x:c r="I58" s="47"/>
      <x:c r="J58" s="47"/>
      <x:c r="K58" s="47"/>
      <x:c r="L58" s="47"/>
      <x:c r="M58" s="47"/>
      <x:c r="N58" s="48"/>
      <x:c r="O58" s="47"/>
      <x:c r="P58" s="47"/>
      <x:c r="Q58" s="47"/>
      <x:c r="R58" s="49"/>
      <x:c r="S58" s="49"/>
      <x:c r="T58" s="47"/>
      <x:c r="U58" s="50" t="str">
        <x:f t="shared" si="0"/>
      </x:c>
      <x:c r="V58" s="26"/>
      <x:c r="W58" s="26"/>
      <x:c r="X58" s="26"/>
    </x:row>
    <x:row r="59" ht="28" customHeight="1">
      <x:c r="A59" s="46"/>
      <x:c r="B59" s="46"/>
      <x:c r="C59" s="46"/>
      <x:c r="D59" s="47"/>
      <x:c r="E59" s="47"/>
      <x:c r="F59" s="48"/>
      <x:c r="G59" s="48"/>
      <x:c r="H59" s="48"/>
      <x:c r="I59" s="47"/>
      <x:c r="J59" s="47"/>
      <x:c r="K59" s="47"/>
      <x:c r="L59" s="47"/>
      <x:c r="M59" s="47"/>
      <x:c r="N59" s="48"/>
      <x:c r="O59" s="47"/>
      <x:c r="P59" s="47"/>
      <x:c r="Q59" s="47"/>
      <x:c r="R59" s="49"/>
      <x:c r="S59" s="49"/>
      <x:c r="T59" s="47"/>
      <x:c r="U59" s="50" t="str">
        <x:f t="shared" si="0"/>
      </x:c>
      <x:c r="V59" s="26"/>
      <x:c r="W59" s="26"/>
      <x:c r="X59" s="26"/>
    </x:row>
    <x:row r="60" ht="28" customHeight="1">
      <x:c r="A60" s="46"/>
      <x:c r="B60" s="46"/>
      <x:c r="C60" s="46"/>
      <x:c r="D60" s="47"/>
      <x:c r="E60" s="47"/>
      <x:c r="F60" s="48"/>
      <x:c r="G60" s="48"/>
      <x:c r="H60" s="48"/>
      <x:c r="I60" s="47"/>
      <x:c r="J60" s="47"/>
      <x:c r="K60" s="47"/>
      <x:c r="L60" s="47"/>
      <x:c r="M60" s="47"/>
      <x:c r="N60" s="48"/>
      <x:c r="O60" s="47"/>
      <x:c r="P60" s="47"/>
      <x:c r="Q60" s="47"/>
      <x:c r="R60" s="49"/>
      <x:c r="S60" s="49"/>
      <x:c r="T60" s="47"/>
      <x:c r="U60" s="50" t="str">
        <x:f t="shared" si="0"/>
      </x:c>
      <x:c r="V60" s="26"/>
      <x:c r="W60" s="26"/>
      <x:c r="X60" s="26"/>
    </x:row>
    <x:row r="61" ht="28" customHeight="1">
      <x:c r="A61" s="46"/>
      <x:c r="B61" s="46"/>
      <x:c r="C61" s="46"/>
      <x:c r="D61" s="47"/>
      <x:c r="E61" s="47"/>
      <x:c r="F61" s="48"/>
      <x:c r="G61" s="48"/>
      <x:c r="H61" s="48"/>
      <x:c r="I61" s="47"/>
      <x:c r="J61" s="47"/>
      <x:c r="K61" s="47"/>
      <x:c r="L61" s="47"/>
      <x:c r="M61" s="47"/>
      <x:c r="N61" s="48"/>
      <x:c r="O61" s="47"/>
      <x:c r="P61" s="47"/>
      <x:c r="Q61" s="47"/>
      <x:c r="R61" s="49"/>
      <x:c r="S61" s="49"/>
      <x:c r="T61" s="47"/>
      <x:c r="U61" s="50" t="str">
        <x:f t="shared" si="0"/>
      </x:c>
      <x:c r="V61" s="26"/>
      <x:c r="W61" s="26"/>
      <x:c r="X61" s="26"/>
    </x:row>
    <x:row r="62" ht="28" customHeight="1">
      <x:c r="A62" s="46"/>
      <x:c r="B62" s="46"/>
      <x:c r="C62" s="46"/>
      <x:c r="D62" s="47"/>
      <x:c r="E62" s="47"/>
      <x:c r="F62" s="48"/>
      <x:c r="G62" s="48"/>
      <x:c r="H62" s="48"/>
      <x:c r="I62" s="47"/>
      <x:c r="J62" s="47"/>
      <x:c r="K62" s="47"/>
      <x:c r="L62" s="47"/>
      <x:c r="M62" s="47"/>
      <x:c r="N62" s="48"/>
      <x:c r="O62" s="47"/>
      <x:c r="P62" s="47"/>
      <x:c r="Q62" s="47"/>
      <x:c r="R62" s="49"/>
      <x:c r="S62" s="49"/>
      <x:c r="T62" s="47"/>
      <x:c r="U62" s="50" t="str">
        <x:f t="shared" si="0"/>
      </x:c>
      <x:c r="V62" s="26"/>
      <x:c r="W62" s="26"/>
      <x:c r="X62" s="26"/>
    </x:row>
    <x:row r="63" ht="28" customHeight="1">
      <x:c r="A63" s="46"/>
      <x:c r="B63" s="46"/>
      <x:c r="C63" s="46"/>
      <x:c r="D63" s="47"/>
      <x:c r="E63" s="47"/>
      <x:c r="F63" s="48"/>
      <x:c r="G63" s="48"/>
      <x:c r="H63" s="48"/>
      <x:c r="I63" s="47"/>
      <x:c r="J63" s="47"/>
      <x:c r="K63" s="47"/>
      <x:c r="L63" s="47"/>
      <x:c r="M63" s="47"/>
      <x:c r="N63" s="48"/>
      <x:c r="O63" s="47"/>
      <x:c r="P63" s="47"/>
      <x:c r="Q63" s="47"/>
      <x:c r="R63" s="49"/>
      <x:c r="S63" s="49"/>
      <x:c r="T63" s="47"/>
      <x:c r="U63" s="50" t="str">
        <x:f t="shared" ref="U63:U98" si="1">IF(A63="","",IF(OR(AND(G63&lt;&gt;"",F63&lt;G63),AND(H63&lt;&gt;"",F63&gt;H63)),"检查范围","正常"))</x:f>
      </x:c>
      <x:c r="V63" s="26"/>
      <x:c r="W63" s="26"/>
      <x:c r="X63" s="26"/>
    </x:row>
    <x:row r="64" ht="28" customHeight="1">
      <x:c r="A64" s="46"/>
      <x:c r="B64" s="46"/>
      <x:c r="C64" s="46"/>
      <x:c r="D64" s="47"/>
      <x:c r="E64" s="47"/>
      <x:c r="F64" s="48"/>
      <x:c r="G64" s="48"/>
      <x:c r="H64" s="48"/>
      <x:c r="I64" s="47"/>
      <x:c r="J64" s="47"/>
      <x:c r="K64" s="47"/>
      <x:c r="L64" s="47"/>
      <x:c r="M64" s="47"/>
      <x:c r="N64" s="48"/>
      <x:c r="O64" s="47"/>
      <x:c r="P64" s="47"/>
      <x:c r="Q64" s="47"/>
      <x:c r="R64" s="49"/>
      <x:c r="S64" s="49"/>
      <x:c r="T64" s="47"/>
      <x:c r="U64" s="50" t="str">
        <x:f t="shared" si="1"/>
      </x:c>
      <x:c r="V64" s="26"/>
      <x:c r="W64" s="26"/>
      <x:c r="X64" s="26"/>
    </x:row>
    <x:row r="65" ht="28" customHeight="1">
      <x:c r="A65" s="46"/>
      <x:c r="B65" s="46"/>
      <x:c r="C65" s="46"/>
      <x:c r="D65" s="47"/>
      <x:c r="E65" s="47"/>
      <x:c r="F65" s="48"/>
      <x:c r="G65" s="48"/>
      <x:c r="H65" s="48"/>
      <x:c r="I65" s="47"/>
      <x:c r="J65" s="47"/>
      <x:c r="K65" s="47"/>
      <x:c r="L65" s="47"/>
      <x:c r="M65" s="47"/>
      <x:c r="N65" s="48"/>
      <x:c r="O65" s="47"/>
      <x:c r="P65" s="47"/>
      <x:c r="Q65" s="47"/>
      <x:c r="R65" s="49"/>
      <x:c r="S65" s="49"/>
      <x:c r="T65" s="47"/>
      <x:c r="U65" s="50" t="str">
        <x:f t="shared" si="1"/>
      </x:c>
      <x:c r="V65" s="26"/>
      <x:c r="W65" s="26"/>
      <x:c r="X65" s="26"/>
    </x:row>
    <x:row r="66" ht="28" customHeight="1">
      <x:c r="A66" s="46"/>
      <x:c r="B66" s="46"/>
      <x:c r="C66" s="46"/>
      <x:c r="D66" s="47"/>
      <x:c r="E66" s="47"/>
      <x:c r="F66" s="48"/>
      <x:c r="G66" s="48"/>
      <x:c r="H66" s="48"/>
      <x:c r="I66" s="47"/>
      <x:c r="J66" s="47"/>
      <x:c r="K66" s="47"/>
      <x:c r="L66" s="47"/>
      <x:c r="M66" s="47"/>
      <x:c r="N66" s="48"/>
      <x:c r="O66" s="47"/>
      <x:c r="P66" s="47"/>
      <x:c r="Q66" s="47"/>
      <x:c r="R66" s="49"/>
      <x:c r="S66" s="49"/>
      <x:c r="T66" s="47"/>
      <x:c r="U66" s="50" t="str">
        <x:f t="shared" si="1"/>
      </x:c>
      <x:c r="V66" s="26"/>
      <x:c r="W66" s="26"/>
      <x:c r="X66" s="26"/>
    </x:row>
    <x:row r="67" ht="28" customHeight="1">
      <x:c r="A67" s="46"/>
      <x:c r="B67" s="46"/>
      <x:c r="C67" s="46"/>
      <x:c r="D67" s="47"/>
      <x:c r="E67" s="47"/>
      <x:c r="F67" s="48"/>
      <x:c r="G67" s="48"/>
      <x:c r="H67" s="48"/>
      <x:c r="I67" s="47"/>
      <x:c r="J67" s="47"/>
      <x:c r="K67" s="47"/>
      <x:c r="L67" s="47"/>
      <x:c r="M67" s="47"/>
      <x:c r="N67" s="48"/>
      <x:c r="O67" s="47"/>
      <x:c r="P67" s="47"/>
      <x:c r="Q67" s="47"/>
      <x:c r="R67" s="49"/>
      <x:c r="S67" s="49"/>
      <x:c r="T67" s="47"/>
      <x:c r="U67" s="50" t="str">
        <x:f t="shared" si="1"/>
      </x:c>
      <x:c r="V67" s="26"/>
      <x:c r="W67" s="26"/>
      <x:c r="X67" s="26"/>
    </x:row>
    <x:row r="68" ht="28" customHeight="1">
      <x:c r="A68" s="46"/>
      <x:c r="B68" s="46"/>
      <x:c r="C68" s="46"/>
      <x:c r="D68" s="47"/>
      <x:c r="E68" s="47"/>
      <x:c r="F68" s="48"/>
      <x:c r="G68" s="48"/>
      <x:c r="H68" s="48"/>
      <x:c r="I68" s="47"/>
      <x:c r="J68" s="47"/>
      <x:c r="K68" s="47"/>
      <x:c r="L68" s="47"/>
      <x:c r="M68" s="47"/>
      <x:c r="N68" s="48"/>
      <x:c r="O68" s="47"/>
      <x:c r="P68" s="47"/>
      <x:c r="Q68" s="47"/>
      <x:c r="R68" s="49"/>
      <x:c r="S68" s="49"/>
      <x:c r="T68" s="47"/>
      <x:c r="U68" s="50" t="str">
        <x:f t="shared" si="1"/>
      </x:c>
      <x:c r="V68" s="26"/>
      <x:c r="W68" s="26"/>
      <x:c r="X68" s="26"/>
    </x:row>
    <x:row r="69" ht="28" customHeight="1">
      <x:c r="A69" s="46"/>
      <x:c r="B69" s="46"/>
      <x:c r="C69" s="46"/>
      <x:c r="D69" s="47"/>
      <x:c r="E69" s="47"/>
      <x:c r="F69" s="48"/>
      <x:c r="G69" s="48"/>
      <x:c r="H69" s="48"/>
      <x:c r="I69" s="47"/>
      <x:c r="J69" s="47"/>
      <x:c r="K69" s="47"/>
      <x:c r="L69" s="47"/>
      <x:c r="M69" s="47"/>
      <x:c r="N69" s="48"/>
      <x:c r="O69" s="47"/>
      <x:c r="P69" s="47"/>
      <x:c r="Q69" s="47"/>
      <x:c r="R69" s="49"/>
      <x:c r="S69" s="49"/>
      <x:c r="T69" s="47"/>
      <x:c r="U69" s="50" t="str">
        <x:f t="shared" si="1"/>
      </x:c>
      <x:c r="V69" s="26"/>
      <x:c r="W69" s="26"/>
      <x:c r="X69" s="26"/>
    </x:row>
    <x:row r="70" ht="28" customHeight="1">
      <x:c r="A70" s="46"/>
      <x:c r="B70" s="46"/>
      <x:c r="C70" s="46"/>
      <x:c r="D70" s="47"/>
      <x:c r="E70" s="47"/>
      <x:c r="F70" s="48"/>
      <x:c r="G70" s="48"/>
      <x:c r="H70" s="48"/>
      <x:c r="I70" s="47"/>
      <x:c r="J70" s="47"/>
      <x:c r="K70" s="47"/>
      <x:c r="L70" s="47"/>
      <x:c r="M70" s="47"/>
      <x:c r="N70" s="48"/>
      <x:c r="O70" s="47"/>
      <x:c r="P70" s="47"/>
      <x:c r="Q70" s="47"/>
      <x:c r="R70" s="49"/>
      <x:c r="S70" s="49"/>
      <x:c r="T70" s="47"/>
      <x:c r="U70" s="50" t="str">
        <x:f t="shared" si="1"/>
      </x:c>
      <x:c r="V70" s="26"/>
      <x:c r="W70" s="26"/>
      <x:c r="X70" s="26"/>
    </x:row>
    <x:row r="71" ht="28" customHeight="1">
      <x:c r="A71" s="46"/>
      <x:c r="B71" s="46"/>
      <x:c r="C71" s="46"/>
      <x:c r="D71" s="47"/>
      <x:c r="E71" s="47"/>
      <x:c r="F71" s="48"/>
      <x:c r="G71" s="48"/>
      <x:c r="H71" s="48"/>
      <x:c r="I71" s="47"/>
      <x:c r="J71" s="47"/>
      <x:c r="K71" s="47"/>
      <x:c r="L71" s="47"/>
      <x:c r="M71" s="47"/>
      <x:c r="N71" s="48"/>
      <x:c r="O71" s="47"/>
      <x:c r="P71" s="47"/>
      <x:c r="Q71" s="47"/>
      <x:c r="R71" s="49"/>
      <x:c r="S71" s="49"/>
      <x:c r="T71" s="47"/>
      <x:c r="U71" s="50" t="str">
        <x:f t="shared" si="1"/>
      </x:c>
      <x:c r="V71" s="26"/>
      <x:c r="W71" s="26"/>
      <x:c r="X71" s="26"/>
    </x:row>
    <x:row r="72" ht="28" customHeight="1">
      <x:c r="A72" s="46"/>
      <x:c r="B72" s="46"/>
      <x:c r="C72" s="46"/>
      <x:c r="D72" s="47"/>
      <x:c r="E72" s="47"/>
      <x:c r="F72" s="48"/>
      <x:c r="G72" s="48"/>
      <x:c r="H72" s="48"/>
      <x:c r="I72" s="47"/>
      <x:c r="J72" s="47"/>
      <x:c r="K72" s="47"/>
      <x:c r="L72" s="47"/>
      <x:c r="M72" s="47"/>
      <x:c r="N72" s="48"/>
      <x:c r="O72" s="47"/>
      <x:c r="P72" s="47"/>
      <x:c r="Q72" s="47"/>
      <x:c r="R72" s="49"/>
      <x:c r="S72" s="49"/>
      <x:c r="T72" s="47"/>
      <x:c r="U72" s="50" t="str">
        <x:f t="shared" si="1"/>
      </x:c>
      <x:c r="V72" s="26"/>
      <x:c r="W72" s="26"/>
      <x:c r="X72" s="26"/>
    </x:row>
    <x:row r="73" ht="28" customHeight="1">
      <x:c r="A73" s="46"/>
      <x:c r="B73" s="46"/>
      <x:c r="C73" s="46"/>
      <x:c r="D73" s="47"/>
      <x:c r="E73" s="47"/>
      <x:c r="F73" s="48"/>
      <x:c r="G73" s="48"/>
      <x:c r="H73" s="48"/>
      <x:c r="I73" s="47"/>
      <x:c r="J73" s="47"/>
      <x:c r="K73" s="47"/>
      <x:c r="L73" s="47"/>
      <x:c r="M73" s="47"/>
      <x:c r="N73" s="48"/>
      <x:c r="O73" s="47"/>
      <x:c r="P73" s="47"/>
      <x:c r="Q73" s="47"/>
      <x:c r="R73" s="49"/>
      <x:c r="S73" s="49"/>
      <x:c r="T73" s="47"/>
      <x:c r="U73" s="50" t="str">
        <x:f t="shared" si="1"/>
      </x:c>
      <x:c r="V73" s="26"/>
      <x:c r="W73" s="26"/>
      <x:c r="X73" s="26"/>
    </x:row>
    <x:row r="74" ht="28" customHeight="1">
      <x:c r="A74" s="46"/>
      <x:c r="B74" s="46"/>
      <x:c r="C74" s="46"/>
      <x:c r="D74" s="47"/>
      <x:c r="E74" s="47"/>
      <x:c r="F74" s="48"/>
      <x:c r="G74" s="48"/>
      <x:c r="H74" s="48"/>
      <x:c r="I74" s="47"/>
      <x:c r="J74" s="47"/>
      <x:c r="K74" s="47"/>
      <x:c r="L74" s="47"/>
      <x:c r="M74" s="47"/>
      <x:c r="N74" s="48"/>
      <x:c r="O74" s="47"/>
      <x:c r="P74" s="47"/>
      <x:c r="Q74" s="47"/>
      <x:c r="R74" s="49"/>
      <x:c r="S74" s="49"/>
      <x:c r="T74" s="47"/>
      <x:c r="U74" s="50" t="str">
        <x:f t="shared" si="1"/>
      </x:c>
      <x:c r="V74" s="26"/>
      <x:c r="W74" s="26"/>
      <x:c r="X74" s="26"/>
    </x:row>
    <x:row r="75" ht="28" customHeight="1">
      <x:c r="A75" s="46"/>
      <x:c r="B75" s="46"/>
      <x:c r="C75" s="46"/>
      <x:c r="D75" s="47"/>
      <x:c r="E75" s="47"/>
      <x:c r="F75" s="48"/>
      <x:c r="G75" s="48"/>
      <x:c r="H75" s="48"/>
      <x:c r="I75" s="47"/>
      <x:c r="J75" s="47"/>
      <x:c r="K75" s="47"/>
      <x:c r="L75" s="47"/>
      <x:c r="M75" s="47"/>
      <x:c r="N75" s="48"/>
      <x:c r="O75" s="47"/>
      <x:c r="P75" s="47"/>
      <x:c r="Q75" s="47"/>
      <x:c r="R75" s="49"/>
      <x:c r="S75" s="49"/>
      <x:c r="T75" s="47"/>
      <x:c r="U75" s="50" t="str">
        <x:f t="shared" si="1"/>
      </x:c>
      <x:c r="V75" s="26"/>
      <x:c r="W75" s="26"/>
      <x:c r="X75" s="26"/>
    </x:row>
    <x:row r="76" ht="28" customHeight="1">
      <x:c r="A76" s="46"/>
      <x:c r="B76" s="46"/>
      <x:c r="C76" s="46"/>
      <x:c r="D76" s="47"/>
      <x:c r="E76" s="47"/>
      <x:c r="F76" s="48"/>
      <x:c r="G76" s="48"/>
      <x:c r="H76" s="48"/>
      <x:c r="I76" s="47"/>
      <x:c r="J76" s="47"/>
      <x:c r="K76" s="47"/>
      <x:c r="L76" s="47"/>
      <x:c r="M76" s="47"/>
      <x:c r="N76" s="48"/>
      <x:c r="O76" s="47"/>
      <x:c r="P76" s="47"/>
      <x:c r="Q76" s="47"/>
      <x:c r="R76" s="49"/>
      <x:c r="S76" s="49"/>
      <x:c r="T76" s="47"/>
      <x:c r="U76" s="50" t="str">
        <x:f t="shared" si="1"/>
      </x:c>
      <x:c r="V76" s="26"/>
      <x:c r="W76" s="26"/>
      <x:c r="X76" s="26"/>
    </x:row>
    <x:row r="77" ht="28" customHeight="1">
      <x:c r="A77" s="46"/>
      <x:c r="B77" s="46"/>
      <x:c r="C77" s="46"/>
      <x:c r="D77" s="47"/>
      <x:c r="E77" s="47"/>
      <x:c r="F77" s="48"/>
      <x:c r="G77" s="48"/>
      <x:c r="H77" s="48"/>
      <x:c r="I77" s="47"/>
      <x:c r="J77" s="47"/>
      <x:c r="K77" s="47"/>
      <x:c r="L77" s="47"/>
      <x:c r="M77" s="47"/>
      <x:c r="N77" s="48"/>
      <x:c r="O77" s="47"/>
      <x:c r="P77" s="47"/>
      <x:c r="Q77" s="47"/>
      <x:c r="R77" s="49"/>
      <x:c r="S77" s="49"/>
      <x:c r="T77" s="47"/>
      <x:c r="U77" s="50" t="str">
        <x:f t="shared" si="1"/>
      </x:c>
      <x:c r="V77" s="26"/>
      <x:c r="W77" s="26"/>
      <x:c r="X77" s="26"/>
    </x:row>
    <x:row r="78" ht="28" customHeight="1">
      <x:c r="A78" s="46"/>
      <x:c r="B78" s="46"/>
      <x:c r="C78" s="46"/>
      <x:c r="D78" s="47"/>
      <x:c r="E78" s="47"/>
      <x:c r="F78" s="48"/>
      <x:c r="G78" s="48"/>
      <x:c r="H78" s="48"/>
      <x:c r="I78" s="47"/>
      <x:c r="J78" s="47"/>
      <x:c r="K78" s="47"/>
      <x:c r="L78" s="47"/>
      <x:c r="M78" s="47"/>
      <x:c r="N78" s="48"/>
      <x:c r="O78" s="47"/>
      <x:c r="P78" s="47"/>
      <x:c r="Q78" s="47"/>
      <x:c r="R78" s="49"/>
      <x:c r="S78" s="49"/>
      <x:c r="T78" s="47"/>
      <x:c r="U78" s="50" t="str">
        <x:f t="shared" si="1"/>
      </x:c>
      <x:c r="V78" s="26"/>
      <x:c r="W78" s="26"/>
      <x:c r="X78" s="26"/>
    </x:row>
    <x:row r="79" ht="28" customHeight="1">
      <x:c r="A79" s="46"/>
      <x:c r="B79" s="46"/>
      <x:c r="C79" s="46"/>
      <x:c r="D79" s="47"/>
      <x:c r="E79" s="47"/>
      <x:c r="F79" s="48"/>
      <x:c r="G79" s="48"/>
      <x:c r="H79" s="48"/>
      <x:c r="I79" s="47"/>
      <x:c r="J79" s="47"/>
      <x:c r="K79" s="47"/>
      <x:c r="L79" s="47"/>
      <x:c r="M79" s="47"/>
      <x:c r="N79" s="48"/>
      <x:c r="O79" s="47"/>
      <x:c r="P79" s="47"/>
      <x:c r="Q79" s="47"/>
      <x:c r="R79" s="49"/>
      <x:c r="S79" s="49"/>
      <x:c r="T79" s="47"/>
      <x:c r="U79" s="50" t="str">
        <x:f t="shared" si="1"/>
      </x:c>
      <x:c r="V79" s="26"/>
      <x:c r="W79" s="26"/>
      <x:c r="X79" s="26"/>
    </x:row>
    <x:row r="80" ht="28" customHeight="1">
      <x:c r="A80" s="46"/>
      <x:c r="B80" s="46"/>
      <x:c r="C80" s="46"/>
      <x:c r="D80" s="47"/>
      <x:c r="E80" s="47"/>
      <x:c r="F80" s="48"/>
      <x:c r="G80" s="48"/>
      <x:c r="H80" s="48"/>
      <x:c r="I80" s="47"/>
      <x:c r="J80" s="47"/>
      <x:c r="K80" s="47"/>
      <x:c r="L80" s="47"/>
      <x:c r="M80" s="47"/>
      <x:c r="N80" s="48"/>
      <x:c r="O80" s="47"/>
      <x:c r="P80" s="47"/>
      <x:c r="Q80" s="47"/>
      <x:c r="R80" s="49"/>
      <x:c r="S80" s="49"/>
      <x:c r="T80" s="47"/>
      <x:c r="U80" s="50" t="str">
        <x:f t="shared" si="1"/>
      </x:c>
      <x:c r="V80" s="26"/>
      <x:c r="W80" s="26"/>
      <x:c r="X80" s="26"/>
    </x:row>
    <x:row r="81" ht="28" customHeight="1">
      <x:c r="A81" s="46"/>
      <x:c r="B81" s="46"/>
      <x:c r="C81" s="46"/>
      <x:c r="D81" s="47"/>
      <x:c r="E81" s="47"/>
      <x:c r="F81" s="48"/>
      <x:c r="G81" s="48"/>
      <x:c r="H81" s="48"/>
      <x:c r="I81" s="47"/>
      <x:c r="J81" s="47"/>
      <x:c r="K81" s="47"/>
      <x:c r="L81" s="47"/>
      <x:c r="M81" s="47"/>
      <x:c r="N81" s="48"/>
      <x:c r="O81" s="47"/>
      <x:c r="P81" s="47"/>
      <x:c r="Q81" s="47"/>
      <x:c r="R81" s="49"/>
      <x:c r="S81" s="49"/>
      <x:c r="T81" s="47"/>
      <x:c r="U81" s="50" t="str">
        <x:f t="shared" si="1"/>
      </x:c>
      <x:c r="V81" s="26"/>
      <x:c r="W81" s="26"/>
      <x:c r="X81" s="26"/>
    </x:row>
    <x:row r="82" ht="28" customHeight="1">
      <x:c r="A82" s="46"/>
      <x:c r="B82" s="46"/>
      <x:c r="C82" s="46"/>
      <x:c r="D82" s="47"/>
      <x:c r="E82" s="47"/>
      <x:c r="F82" s="48"/>
      <x:c r="G82" s="48"/>
      <x:c r="H82" s="48"/>
      <x:c r="I82" s="47"/>
      <x:c r="J82" s="47"/>
      <x:c r="K82" s="47"/>
      <x:c r="L82" s="47"/>
      <x:c r="M82" s="47"/>
      <x:c r="N82" s="48"/>
      <x:c r="O82" s="47"/>
      <x:c r="P82" s="47"/>
      <x:c r="Q82" s="47"/>
      <x:c r="R82" s="49"/>
      <x:c r="S82" s="49"/>
      <x:c r="T82" s="47"/>
      <x:c r="U82" s="50" t="str">
        <x:f t="shared" si="1"/>
      </x:c>
      <x:c r="V82" s="26"/>
      <x:c r="W82" s="26"/>
      <x:c r="X82" s="26"/>
    </x:row>
    <x:row r="83" ht="28" customHeight="1">
      <x:c r="A83" s="46"/>
      <x:c r="B83" s="46"/>
      <x:c r="C83" s="46"/>
      <x:c r="D83" s="47"/>
      <x:c r="E83" s="47"/>
      <x:c r="F83" s="48"/>
      <x:c r="G83" s="48"/>
      <x:c r="H83" s="48"/>
      <x:c r="I83" s="47"/>
      <x:c r="J83" s="47"/>
      <x:c r="K83" s="47"/>
      <x:c r="L83" s="47"/>
      <x:c r="M83" s="47"/>
      <x:c r="N83" s="48"/>
      <x:c r="O83" s="47"/>
      <x:c r="P83" s="47"/>
      <x:c r="Q83" s="47"/>
      <x:c r="R83" s="49"/>
      <x:c r="S83" s="49"/>
      <x:c r="T83" s="47"/>
      <x:c r="U83" s="50" t="str">
        <x:f t="shared" si="1"/>
      </x:c>
      <x:c r="V83" s="26"/>
      <x:c r="W83" s="26"/>
      <x:c r="X83" s="26"/>
    </x:row>
    <x:row r="84" ht="28" customHeight="1">
      <x:c r="A84" s="46"/>
      <x:c r="B84" s="46"/>
      <x:c r="C84" s="46"/>
      <x:c r="D84" s="47"/>
      <x:c r="E84" s="47"/>
      <x:c r="F84" s="48"/>
      <x:c r="G84" s="48"/>
      <x:c r="H84" s="48"/>
      <x:c r="I84" s="47"/>
      <x:c r="J84" s="47"/>
      <x:c r="K84" s="47"/>
      <x:c r="L84" s="47"/>
      <x:c r="M84" s="47"/>
      <x:c r="N84" s="48"/>
      <x:c r="O84" s="47"/>
      <x:c r="P84" s="47"/>
      <x:c r="Q84" s="47"/>
      <x:c r="R84" s="49"/>
      <x:c r="S84" s="49"/>
      <x:c r="T84" s="47"/>
      <x:c r="U84" s="50" t="str">
        <x:f t="shared" si="1"/>
      </x:c>
      <x:c r="V84" s="26"/>
      <x:c r="W84" s="26"/>
      <x:c r="X84" s="26"/>
    </x:row>
    <x:row r="85" ht="28" customHeight="1">
      <x:c r="A85" s="46"/>
      <x:c r="B85" s="46"/>
      <x:c r="C85" s="46"/>
      <x:c r="D85" s="47"/>
      <x:c r="E85" s="47"/>
      <x:c r="F85" s="48"/>
      <x:c r="G85" s="48"/>
      <x:c r="H85" s="48"/>
      <x:c r="I85" s="47"/>
      <x:c r="J85" s="47"/>
      <x:c r="K85" s="47"/>
      <x:c r="L85" s="47"/>
      <x:c r="M85" s="47"/>
      <x:c r="N85" s="48"/>
      <x:c r="O85" s="47"/>
      <x:c r="P85" s="47"/>
      <x:c r="Q85" s="47"/>
      <x:c r="R85" s="49"/>
      <x:c r="S85" s="49"/>
      <x:c r="T85" s="47"/>
      <x:c r="U85" s="50" t="str">
        <x:f t="shared" si="1"/>
      </x:c>
      <x:c r="V85" s="26"/>
      <x:c r="W85" s="26"/>
      <x:c r="X85" s="26"/>
    </x:row>
    <x:row r="86" ht="28" customHeight="1">
      <x:c r="A86" s="46"/>
      <x:c r="B86" s="46"/>
      <x:c r="C86" s="46"/>
      <x:c r="D86" s="47"/>
      <x:c r="E86" s="47"/>
      <x:c r="F86" s="48"/>
      <x:c r="G86" s="48"/>
      <x:c r="H86" s="48"/>
      <x:c r="I86" s="47"/>
      <x:c r="J86" s="47"/>
      <x:c r="K86" s="47"/>
      <x:c r="L86" s="47"/>
      <x:c r="M86" s="47"/>
      <x:c r="N86" s="48"/>
      <x:c r="O86" s="47"/>
      <x:c r="P86" s="47"/>
      <x:c r="Q86" s="47"/>
      <x:c r="R86" s="49"/>
      <x:c r="S86" s="49"/>
      <x:c r="T86" s="47"/>
      <x:c r="U86" s="50" t="str">
        <x:f t="shared" si="1"/>
      </x:c>
      <x:c r="V86" s="26"/>
      <x:c r="W86" s="26"/>
      <x:c r="X86" s="26"/>
    </x:row>
    <x:row r="87" ht="28" customHeight="1">
      <x:c r="A87" s="46"/>
      <x:c r="B87" s="46"/>
      <x:c r="C87" s="46"/>
      <x:c r="D87" s="47"/>
      <x:c r="E87" s="47"/>
      <x:c r="F87" s="48"/>
      <x:c r="G87" s="48"/>
      <x:c r="H87" s="48"/>
      <x:c r="I87" s="47"/>
      <x:c r="J87" s="47"/>
      <x:c r="K87" s="47"/>
      <x:c r="L87" s="47"/>
      <x:c r="M87" s="47"/>
      <x:c r="N87" s="48"/>
      <x:c r="O87" s="47"/>
      <x:c r="P87" s="47"/>
      <x:c r="Q87" s="47"/>
      <x:c r="R87" s="49"/>
      <x:c r="S87" s="49"/>
      <x:c r="T87" s="47"/>
      <x:c r="U87" s="50" t="str">
        <x:f t="shared" si="1"/>
      </x:c>
      <x:c r="V87" s="26"/>
      <x:c r="W87" s="26"/>
      <x:c r="X87" s="26"/>
    </x:row>
    <x:row r="88" ht="28" customHeight="1">
      <x:c r="A88" s="46"/>
      <x:c r="B88" s="46"/>
      <x:c r="C88" s="46"/>
      <x:c r="D88" s="47"/>
      <x:c r="E88" s="47"/>
      <x:c r="F88" s="48"/>
      <x:c r="G88" s="48"/>
      <x:c r="H88" s="48"/>
      <x:c r="I88" s="47"/>
      <x:c r="J88" s="47"/>
      <x:c r="K88" s="47"/>
      <x:c r="L88" s="47"/>
      <x:c r="M88" s="47"/>
      <x:c r="N88" s="48"/>
      <x:c r="O88" s="47"/>
      <x:c r="P88" s="47"/>
      <x:c r="Q88" s="47"/>
      <x:c r="R88" s="49"/>
      <x:c r="S88" s="49"/>
      <x:c r="T88" s="47"/>
      <x:c r="U88" s="50" t="str">
        <x:f t="shared" si="1"/>
      </x:c>
      <x:c r="V88" s="26"/>
      <x:c r="W88" s="26"/>
      <x:c r="X88" s="26"/>
    </x:row>
    <x:row r="89" ht="28" customHeight="1">
      <x:c r="A89" s="46"/>
      <x:c r="B89" s="46"/>
      <x:c r="C89" s="46"/>
      <x:c r="D89" s="47"/>
      <x:c r="E89" s="47"/>
      <x:c r="F89" s="48"/>
      <x:c r="G89" s="48"/>
      <x:c r="H89" s="48"/>
      <x:c r="I89" s="47"/>
      <x:c r="J89" s="47"/>
      <x:c r="K89" s="47"/>
      <x:c r="L89" s="47"/>
      <x:c r="M89" s="47"/>
      <x:c r="N89" s="48"/>
      <x:c r="O89" s="47"/>
      <x:c r="P89" s="47"/>
      <x:c r="Q89" s="47"/>
      <x:c r="R89" s="49"/>
      <x:c r="S89" s="49"/>
      <x:c r="T89" s="47"/>
      <x:c r="U89" s="50" t="str">
        <x:f t="shared" si="1"/>
      </x:c>
      <x:c r="V89" s="26"/>
      <x:c r="W89" s="26"/>
      <x:c r="X89" s="26"/>
    </x:row>
    <x:row r="90" ht="28" customHeight="1">
      <x:c r="A90" s="46"/>
      <x:c r="B90" s="46"/>
      <x:c r="C90" s="46"/>
      <x:c r="D90" s="47"/>
      <x:c r="E90" s="47"/>
      <x:c r="F90" s="48"/>
      <x:c r="G90" s="48"/>
      <x:c r="H90" s="48"/>
      <x:c r="I90" s="47"/>
      <x:c r="J90" s="47"/>
      <x:c r="K90" s="47"/>
      <x:c r="L90" s="47"/>
      <x:c r="M90" s="47"/>
      <x:c r="N90" s="48"/>
      <x:c r="O90" s="47"/>
      <x:c r="P90" s="47"/>
      <x:c r="Q90" s="47"/>
      <x:c r="R90" s="49"/>
      <x:c r="S90" s="49"/>
      <x:c r="T90" s="47"/>
      <x:c r="U90" s="50" t="str">
        <x:f t="shared" si="1"/>
      </x:c>
      <x:c r="V90" s="26"/>
      <x:c r="W90" s="26"/>
      <x:c r="X90" s="26"/>
    </x:row>
    <x:row r="91" ht="28" customHeight="1">
      <x:c r="A91" s="46"/>
      <x:c r="B91" s="46"/>
      <x:c r="C91" s="46"/>
      <x:c r="D91" s="47"/>
      <x:c r="E91" s="47"/>
      <x:c r="F91" s="48"/>
      <x:c r="G91" s="48"/>
      <x:c r="H91" s="48"/>
      <x:c r="I91" s="47"/>
      <x:c r="J91" s="47"/>
      <x:c r="K91" s="47"/>
      <x:c r="L91" s="47"/>
      <x:c r="M91" s="47"/>
      <x:c r="N91" s="48"/>
      <x:c r="O91" s="47"/>
      <x:c r="P91" s="47"/>
      <x:c r="Q91" s="47"/>
      <x:c r="R91" s="49"/>
      <x:c r="S91" s="49"/>
      <x:c r="T91" s="47"/>
      <x:c r="U91" s="50" t="str">
        <x:f t="shared" si="1"/>
      </x:c>
      <x:c r="V91" s="26"/>
      <x:c r="W91" s="26"/>
      <x:c r="X91" s="26"/>
    </x:row>
    <x:row r="92" ht="28" customHeight="1">
      <x:c r="A92" s="46"/>
      <x:c r="B92" s="46"/>
      <x:c r="C92" s="46"/>
      <x:c r="D92" s="47"/>
      <x:c r="E92" s="47"/>
      <x:c r="F92" s="48"/>
      <x:c r="G92" s="48"/>
      <x:c r="H92" s="48"/>
      <x:c r="I92" s="47"/>
      <x:c r="J92" s="47"/>
      <x:c r="K92" s="47"/>
      <x:c r="L92" s="47"/>
      <x:c r="M92" s="47"/>
      <x:c r="N92" s="48"/>
      <x:c r="O92" s="47"/>
      <x:c r="P92" s="47"/>
      <x:c r="Q92" s="47"/>
      <x:c r="R92" s="49"/>
      <x:c r="S92" s="49"/>
      <x:c r="T92" s="47"/>
      <x:c r="U92" s="50" t="str">
        <x:f t="shared" si="1"/>
      </x:c>
      <x:c r="V92" s="26"/>
      <x:c r="W92" s="26"/>
      <x:c r="X92" s="26"/>
    </x:row>
    <x:row r="93" ht="28" customHeight="1">
      <x:c r="A93" s="46"/>
      <x:c r="B93" s="46"/>
      <x:c r="C93" s="46"/>
      <x:c r="D93" s="47"/>
      <x:c r="E93" s="47"/>
      <x:c r="F93" s="48"/>
      <x:c r="G93" s="48"/>
      <x:c r="H93" s="48"/>
      <x:c r="I93" s="47"/>
      <x:c r="J93" s="47"/>
      <x:c r="K93" s="47"/>
      <x:c r="L93" s="47"/>
      <x:c r="M93" s="47"/>
      <x:c r="N93" s="48"/>
      <x:c r="O93" s="47"/>
      <x:c r="P93" s="47"/>
      <x:c r="Q93" s="47"/>
      <x:c r="R93" s="49"/>
      <x:c r="S93" s="49"/>
      <x:c r="T93" s="47"/>
      <x:c r="U93" s="50" t="str">
        <x:f t="shared" si="1"/>
      </x:c>
      <x:c r="V93" s="26"/>
      <x:c r="W93" s="26"/>
      <x:c r="X93" s="26"/>
    </x:row>
    <x:row r="94" ht="28" customHeight="1">
      <x:c r="A94" s="46"/>
      <x:c r="B94" s="46"/>
      <x:c r="C94" s="46"/>
      <x:c r="D94" s="47"/>
      <x:c r="E94" s="47"/>
      <x:c r="F94" s="48"/>
      <x:c r="G94" s="48"/>
      <x:c r="H94" s="48"/>
      <x:c r="I94" s="47"/>
      <x:c r="J94" s="47"/>
      <x:c r="K94" s="47"/>
      <x:c r="L94" s="47"/>
      <x:c r="M94" s="47"/>
      <x:c r="N94" s="48"/>
      <x:c r="O94" s="47"/>
      <x:c r="P94" s="47"/>
      <x:c r="Q94" s="47"/>
      <x:c r="R94" s="49"/>
      <x:c r="S94" s="49"/>
      <x:c r="T94" s="47"/>
      <x:c r="U94" s="50" t="str">
        <x:f t="shared" si="1"/>
      </x:c>
      <x:c r="V94" s="26"/>
      <x:c r="W94" s="26"/>
      <x:c r="X94" s="26"/>
    </x:row>
    <x:row r="95" ht="28" customHeight="1">
      <x:c r="A95" s="46"/>
      <x:c r="B95" s="46"/>
      <x:c r="C95" s="46"/>
      <x:c r="D95" s="47"/>
      <x:c r="E95" s="47"/>
      <x:c r="F95" s="48"/>
      <x:c r="G95" s="48"/>
      <x:c r="H95" s="48"/>
      <x:c r="I95" s="47"/>
      <x:c r="J95" s="47"/>
      <x:c r="K95" s="47"/>
      <x:c r="L95" s="47"/>
      <x:c r="M95" s="47"/>
      <x:c r="N95" s="48"/>
      <x:c r="O95" s="47"/>
      <x:c r="P95" s="47"/>
      <x:c r="Q95" s="47"/>
      <x:c r="R95" s="49"/>
      <x:c r="S95" s="49"/>
      <x:c r="T95" s="47"/>
      <x:c r="U95" s="50" t="str">
        <x:f t="shared" si="1"/>
      </x:c>
      <x:c r="V95" s="26"/>
      <x:c r="W95" s="26"/>
      <x:c r="X95" s="26"/>
    </x:row>
    <x:row r="96" ht="28" customHeight="1">
      <x:c r="A96" s="46"/>
      <x:c r="B96" s="46"/>
      <x:c r="C96" s="46"/>
      <x:c r="D96" s="47"/>
      <x:c r="E96" s="47"/>
      <x:c r="F96" s="48"/>
      <x:c r="G96" s="48"/>
      <x:c r="H96" s="48"/>
      <x:c r="I96" s="47"/>
      <x:c r="J96" s="47"/>
      <x:c r="K96" s="47"/>
      <x:c r="L96" s="47"/>
      <x:c r="M96" s="47"/>
      <x:c r="N96" s="48"/>
      <x:c r="O96" s="47"/>
      <x:c r="P96" s="47"/>
      <x:c r="Q96" s="47"/>
      <x:c r="R96" s="49"/>
      <x:c r="S96" s="49"/>
      <x:c r="T96" s="47"/>
      <x:c r="U96" s="50" t="str">
        <x:f t="shared" si="1"/>
      </x:c>
      <x:c r="V96" s="26"/>
      <x:c r="W96" s="26"/>
      <x:c r="X96" s="26"/>
    </x:row>
    <x:row r="97" ht="28" customHeight="1">
      <x:c r="A97" s="46"/>
      <x:c r="B97" s="46"/>
      <x:c r="C97" s="46"/>
      <x:c r="D97" s="47"/>
      <x:c r="E97" s="47"/>
      <x:c r="F97" s="48"/>
      <x:c r="G97" s="48"/>
      <x:c r="H97" s="48"/>
      <x:c r="I97" s="47"/>
      <x:c r="J97" s="47"/>
      <x:c r="K97" s="47"/>
      <x:c r="L97" s="47"/>
      <x:c r="M97" s="47"/>
      <x:c r="N97" s="48"/>
      <x:c r="O97" s="47"/>
      <x:c r="P97" s="47"/>
      <x:c r="Q97" s="47"/>
      <x:c r="R97" s="49"/>
      <x:c r="S97" s="49"/>
      <x:c r="T97" s="47"/>
      <x:c r="U97" s="50" t="str">
        <x:f t="shared" si="1"/>
      </x:c>
      <x:c r="V97" s="26"/>
      <x:c r="W97" s="26"/>
      <x:c r="X97" s="26"/>
    </x:row>
    <x:row r="98" ht="28" customHeight="1">
      <x:c r="A98" s="53"/>
      <x:c r="B98" s="53"/>
      <x:c r="C98" s="53"/>
      <x:c r="D98" s="54"/>
      <x:c r="E98" s="54"/>
      <x:c r="F98" s="55"/>
      <x:c r="G98" s="55"/>
      <x:c r="H98" s="55"/>
      <x:c r="I98" s="54"/>
      <x:c r="J98" s="54"/>
      <x:c r="K98" s="54"/>
      <x:c r="L98" s="54"/>
      <x:c r="M98" s="54"/>
      <x:c r="N98" s="55"/>
      <x:c r="O98" s="54"/>
      <x:c r="P98" s="54"/>
      <x:c r="Q98" s="54"/>
      <x:c r="R98" s="56"/>
      <x:c r="S98" s="56"/>
      <x:c r="T98" s="54"/>
      <x:c r="U98" s="57" t="str">
        <x:f t="shared" si="1"/>
      </x:c>
      <x:c r="V98" s="26"/>
      <x:c r="W98" s="26"/>
      <x:c r="X98" s="26"/>
    </x:row>
    <x:row r="99">
      <x:c r="A99" t="str">
        <x:v>GAMBLE_QUADRUPLE_CHANCE</x:v>
      </x:c>
      <x:c r="B99" t="str">
        <x:v>四倍概率</x:v>
      </x:c>
      <x:c r="C99" t="str">
        <x:v>Gamble Quadruple Chance</x:v>
      </x:c>
      <x:c r="D99" t="str">
        <x:v>Gamble</x:v>
      </x:c>
      <x:c r="E99" t="str">
        <x:v>%</x:v>
      </x:c>
      <x:c r="F99" t="n">
        <x:v>0.15</x:v>
      </x:c>
      <x:c r="G99" t="n">
        <x:v>0</x:v>
      </x:c>
      <x:c r="H99" t="n">
        <x:v>1</x:v>
      </x:c>
      <x:c r="I99" t="str">
        <x:v>ADD,MUL,SET</x:v>
      </x:c>
      <x:c r="J99" t="str">
        <x:v>ADD→MUL→CLAMP</x:v>
      </x:c>
      <x:c r="K99" t="str">
        <x:v>Drug,Item,Global</x:v>
      </x:c>
      <x:c r="L99" t="n">
        <x:v>20</x:v>
      </x:c>
      <x:c r="M99" t="str">
        <x:v>5%–25%</x:v>
      </x:c>
      <x:c r="N99" t="n">
        <x:v>0.4</x:v>
      </x:c>
      <x:c r="O99" t="str">
        <x:v>最终赌博池结算为 ×4 的概率</x:v>
      </x:c>
      <x:c r="P99" t="str">
        <x:v>gamble_quadruple_chance</x:v>
      </x:c>
      <x:c r="Q99" t="str">
        <x:v>No</x:v>
      </x:c>
      <x:c r="R99" t="str">
        <x:v>与其余三档概率合计必须为 100%。</x:v>
      </x:c>
      <x:c r="S99" t="str">
        <x:v>Recommended：降低大奖尾部，保留高方差。</x:v>
      </x:c>
      <x:c r="T99" t="str">
        <x:v>Testing</x:v>
      </x:c>
      <x:c r="U99" t="str">
        <x:f>IF(A99="","",IF(OR(AND(G99&lt;&gt;"",F99&lt;G99),AND(H99&lt;&gt;"",F99&gt;H99)),"检查范围","正常"))</x:f>
        <x:v>正常</x:v>
      </x:c>
    </x:row>
  </x:sheetData>
  <x:conditionalFormatting sqref="Q7:Q98">
    <x:cfRule type="containsText" dxfId="4" priority="4" operator="containsText" text="Yes">
      <x:formula>NOT(ISERROR(SEARCH("Yes",Q7)))</x:formula>
    </x:cfRule>
  </x:conditionalFormatting>
  <x:conditionalFormatting sqref="U7:U98">
    <x:cfRule type="containsText" dxfId="3" priority="2" operator="containsText" text="检查范围">
      <x:formula>NOT(ISERROR(SEARCH("检查范围",U7)))</x:formula>
    </x:cfRule>
    <x:cfRule type="containsText" dxfId="2" priority="3" operator="containsText" text="正常">
      <x:formula>NOT(ISERROR(SEARCH("正常",U7)))</x:formula>
    </x:cfRule>
  </x:conditionalFormatting>
  <x:conditionalFormatting sqref="A7:A98">
    <x:cfRule type="duplicateValues" dxfId="0" priority="54"/>
  </x:conditionalFormatting>
  <x:dataValidations count="7">
    <x:dataValidation type="list" sqref="D7:D98">
      <x:formula1>"Economy,Score,BallPhysics,RUSH,Gamble,Device,Blood"</x:formula1>
    </x:dataValidation>
    <x:dataValidation type="list" sqref="E7:E98">
      <x:formula1>"Score,x,%,sec,Blood,count,ratio,px,kg,unit/s,unit"</x:formula1>
    </x:dataValidation>
    <x:dataValidation type="list" sqref="J7:J98">
      <x:formula1>"ADD→MUL→CLAMP,MUL→ADD→CLAMP,SET→CLAMP,OVERRIDE,NonStack"</x:formula1>
    </x:dataValidation>
    <x:dataValidation type="list" sqref="K7:K98">
      <x:formula1>"Ball,Drug,Item,Global,Device,Ball,Drug,Item,Drug,Item,Global,Ball,Drug,Item,Global"</x:formula1>
    </x:dataValidation>
    <x:dataValidation type="whole" sqref="L7:L98">
      <x:formula1>1</x:formula1>
      <x:formula2>99</x:formula2>
    </x:dataValidation>
    <x:dataValidation type="list" sqref="Q7:Q98">
      <x:formula1>"Yes,No"</x:formula1>
    </x:dataValidation>
    <x:dataValidation type="list" sqref="T7:T98">
      <x:formula1>"Concept,Testing,Approved,Deprecated"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04c9d0c6154b56"/>
  </x:tableParts>
</x:worksheet>
</file>

<file path=xl/worksheets/sheet2.xml><?xml version="1.0" encoding="utf-8"?>
<x:worksheet xmlns:x="http://schemas.openxmlformats.org/spreadsheetml/2006/main">
  <x:sheetPr>
    <x:tabColor rgb="FF622D3C"/>
  </x:sheetPr>
  <x:sheetViews>
    <x:sheetView showGridLines="0" workbookViewId="0">
      <x:pane xSplit="2" ySplit="4" topLeftCell="C5" activePane="bottomRight" state="frozen"/>
    </x:sheetView>
  </x:sheetViews>
  <x:sheetFormatPr defaultColWidth="9" defaultRowHeight="14"/>
  <x:cols>
    <x:col min="1" max="1" width="13" customWidth="1"/>
    <x:col min="2" max="2" width="23" customWidth="1"/>
    <x:col min="3" max="3" width="10" customWidth="1"/>
    <x:col min="4" max="4" width="17" customWidth="1"/>
    <x:col min="5" max="5" width="22" hidden="1" customWidth="1"/>
    <x:col min="6" max="6" width="21" hidden="1" customWidth="1"/>
    <x:col min="7" max="7" width="48" hidden="1" customWidth="1"/>
    <x:col min="8" max="8" width="60" customWidth="1"/>
    <x:col min="9" max="9" width="32" customWidth="1"/>
    <x:col min="10" max="10" width="23" customWidth="1"/>
    <x:col min="11" max="11" width="27" customWidth="1"/>
    <x:col min="12" max="12" width="34" customWidth="1"/>
    <x:col min="13" max="13" width="37" customWidth="1"/>
    <x:col min="14" max="14" width="18" customWidth="1"/>
    <x:col min="15" max="15" width="39" customWidth="1"/>
    <x:col min="16" max="16" width="55" customWidth="1"/>
    <x:col min="17" max="17" width="58" customWidth="1"/>
    <x:col min="18" max="19" width="14" hidden="1" customWidth="1"/>
  </x:cols>
  <x:sheetData>
    <x:row r="2" ht="51" customHeight="1">
      <x:c r="A2" s="1" t="s">
        <x:v>270</x:v>
      </x:c>
    </x:row>
    <x:row r="3" ht="78" hidden="1" customHeight="1"/>
    <x:row r="4" ht="34" customHeight="1">
      <x:c r="A4" s="2" t="s">
        <x:v>271</x:v>
      </x:c>
      <x:c r="B4" s="2" t="s">
        <x:v>272</x:v>
      </x:c>
      <x:c r="C4" s="2" t="s">
        <x:v>273</x:v>
      </x:c>
      <x:c r="D4" s="2" t="s">
        <x:v>274</x:v>
      </x:c>
      <x:c r="E4" s="2" t="s">
        <x:v>275</x:v>
      </x:c>
      <x:c r="F4" s="2" t="s">
        <x:v>276</x:v>
      </x:c>
      <x:c r="G4" s="2" t="s">
        <x:v>277</x:v>
      </x:c>
      <x:c r="H4" s="2" t="str">
        <x:v>入球消耗该球，金币=向下取整(当前价值×兑换系数×1.20)，不再得分或入筹码池</x:v>
      </x:c>
      <x:c r="I4" s="2" t="s">
        <x:v>278</x:v>
      </x:c>
      <x:c r="J4" s="2" t="s">
        <x:v>279</x:v>
      </x:c>
      <x:c r="K4" s="2" t="s">
        <x:v>280</x:v>
      </x:c>
      <x:c r="L4" s="2" t="s">
        <x:v>281</x:v>
      </x:c>
      <x:c r="M4" s="2" t="s">
        <x:v>282</x:v>
      </x:c>
      <x:c r="N4" s="2" t="s">
        <x:v>283</x:v>
      </x:c>
      <x:c r="O4" s="2" t="s">
        <x:v>284</x:v>
      </x:c>
      <x:c r="P4" s="2" t="s">
        <x:v>285</x:v>
      </x:c>
      <x:c r="Q4" s="2" t="s">
        <x:v>286</x:v>
      </x:c>
      <x:c r="R4" s="2" t="s">
        <x:v>287</x:v>
      </x:c>
      <x:c r="S4" s="2" t="s">
        <x:v>288</x:v>
      </x:c>
    </x:row>
    <x:row r="5" ht="78" customHeight="1">
      <x:c r="A5" s="3" t="s">
        <x:v>289</x:v>
      </x:c>
      <x:c r="B5" s="3" t="s">
        <x:v>290</x:v>
      </x:c>
      <x:c r="C5" s="3" t="s">
        <x:v>291</x:v>
      </x:c>
      <x:c r="D5" s="3" t="s">
        <x:v>292</x:v>
      </x:c>
      <x:c r="E5" s="3" t="s">
        <x:v>293</x:v>
      </x:c>
      <x:c r="F5" s="3" t="s">
        <x:v>294</x:v>
      </x:c>
      <x:c r="G5" s="3" t="s">
        <x:v>295</x:v>
      </x:c>
      <x:c r="H5" s="3" t="str">
        <x:v>入球消耗该球，金币=向下取整(当前价值×兑换系数×1.20)，不再得分或入筹码池</x:v>
      </x:c>
      <x:c r="I5" s="3" t="s">
        <x:v>296</x:v>
      </x:c>
      <x:c r="J5" s="3" t="s">
        <x:v>297</x:v>
      </x:c>
      <x:c r="K5" s="3" t="s">
        <x:v>298</x:v>
      </x:c>
      <x:c r="L5" s="3" t="s">
        <x:v>299</x:v>
      </x:c>
      <x:c r="M5" s="3" t="s">
        <x:v>300</x:v>
      </x:c>
      <x:c r="N5" s="3" t="s">
        <x:v>301</x:v>
      </x:c>
      <x:c r="O5" s="3" t="s">
        <x:v>302</x:v>
      </x:c>
      <x:c r="P5" s="3" t="s">
        <x:v>303</x:v>
      </x:c>
      <x:c r="Q5" s="3" t="s">
        <x:v>304</x:v>
      </x:c>
      <x:c r="R5" s="3" t="s">
        <x:v>305</x:v>
      </x:c>
      <x:c r="S5" s="3" t="s">
        <x:v>306</x:v>
      </x:c>
    </x:row>
    <x:row r="6" s="14" customFormat="1" ht="78" customHeight="1">
      <x:c r="A6" s="19" t="s">
        <x:v>307</x:v>
      </x:c>
      <x:c r="B6" s="19" t="s">
        <x:v>308</x:v>
      </x:c>
      <x:c r="C6" s="19" t="s">
        <x:v>291</x:v>
      </x:c>
      <x:c r="D6" s="19" t="s">
        <x:v>309</x:v>
      </x:c>
      <x:c r="E6" s="19" t="s">
        <x:v>293</x:v>
      </x:c>
      <x:c r="F6" s="19" t="s">
        <x:v>310</x:v>
      </x:c>
      <x:c r="G6" s="19" t="s">
        <x:v>311</x:v>
      </x:c>
      <x:c r="H6" s="19" t="str">
        <x:v>两塔距离≤20cm时连线，过线价值乘1.20；</x:v>
      </x:c>
      <x:c r="I6" s="19" t="s">
        <x:v>312</x:v>
      </x:c>
      <x:c r="J6" s="19" t="s">
        <x:v>297</x:v>
      </x:c>
      <x:c r="K6" s="19" t="s">
        <x:v>313</x:v>
      </x:c>
      <x:c r="L6" s="19" t="s">
        <x:v>314</x:v>
      </x:c>
      <x:c r="M6" s="19" t="s">
        <x:v>315</x:v>
      </x:c>
      <x:c r="N6" s="19" t="s">
        <x:v>49</x:v>
      </x:c>
      <x:c r="O6" s="19" t="s">
        <x:v>316</x:v>
      </x:c>
      <x:c r="P6" s="19" t="s">
        <x:v>317</x:v>
      </x:c>
      <x:c r="Q6" s="19" t="s">
        <x:v>318</x:v>
      </x:c>
      <x:c r="R6" s="19" t="s">
        <x:v>305</x:v>
      </x:c>
      <x:c r="S6" s="19" t="s">
        <x:v>306</x:v>
      </x:c>
    </x:row>
    <x:row r="7" ht="78" customHeight="1">
      <x:c r="A7" s="3" t="s">
        <x:v>319</x:v>
      </x:c>
      <x:c r="B7" s="3" t="s">
        <x:v>320</x:v>
      </x:c>
      <x:c r="C7" s="3" t="s">
        <x:v>291</x:v>
      </x:c>
      <x:c r="D7" s="3" t="s">
        <x:v>321</x:v>
      </x:c>
      <x:c r="E7" s="3" t="s">
        <x:v>293</x:v>
      </x:c>
      <x:c r="F7" s="3" t="s">
        <x:v>322</x:v>
      </x:c>
      <x:c r="G7" s="3" t="s">
        <x:v>323</x:v>
      </x:c>
      <x:c r="H7" s="3" t="str">
        <x:v>吸入后从正下方输出，实际速度+5 unit/s并受最大速度限制</x:v>
      </x:c>
      <x:c r="I7" s="3" t="s">
        <x:v>324</x:v>
      </x:c>
      <x:c r="J7" s="3" t="s">
        <x:v>297</x:v>
      </x:c>
      <x:c r="K7" s="3" t="s">
        <x:v>298</x:v>
      </x:c>
      <x:c r="L7" s="3" t="s">
        <x:v>325</x:v>
      </x:c>
      <x:c r="M7" s="3" t="s">
        <x:v>326</x:v>
      </x:c>
      <x:c r="N7" s="3" t="s">
        <x:v>40</x:v>
      </x:c>
      <x:c r="O7" s="3" t="s">
        <x:v>327</x:v>
      </x:c>
      <x:c r="P7" s="3" t="str">
        <x:v>全体传送共享0.5秒球级锁，阻止多门环路</x:v>
      </x:c>
      <x:c r="Q7" s="3" t="s">
        <x:v>328</x:v>
      </x:c>
      <x:c r="R7" s="3" t="s">
        <x:v>305</x:v>
      </x:c>
      <x:c r="S7" s="3" t="str">
        <x:v>待测试</x:v>
      </x:c>
    </x:row>
    <x:row r="8" s="14" customFormat="1" ht="78" customHeight="1">
      <x:c r="A8" s="19" t="s">
        <x:v>329</x:v>
      </x:c>
      <x:c r="B8" s="19" t="s">
        <x:v>330</x:v>
      </x:c>
      <x:c r="C8" s="19" t="s">
        <x:v>291</x:v>
      </x:c>
      <x:c r="D8" s="19" t="s">
        <x:v>331</x:v>
      </x:c>
      <x:c r="E8" s="19" t="s">
        <x:v>293</x:v>
      </x:c>
      <x:c r="F8" s="19" t="s">
        <x:v>332</x:v>
      </x:c>
      <x:c r="G8" s="19" t="s">
        <x:v>333</x:v>
      </x:c>
      <x:c r="H8" s="19" t="str">
        <x:v>购买一对同色门，双向传送；保持速度大小，出口方向由朝向决定</x:v>
      </x:c>
      <x:c r="I8" s="19" t="s">
        <x:v>334</x:v>
      </x:c>
      <x:c r="J8" s="19" t="s">
        <x:v>297</x:v>
      </x:c>
      <x:c r="K8" s="19" t="s">
        <x:v>298</x:v>
      </x:c>
      <x:c r="L8" s="19" t="s">
        <x:v>335</x:v>
      </x:c>
      <x:c r="M8" s="19" t="s">
        <x:v>336</x:v>
      </x:c>
      <x:c r="N8" s="19" t="s">
        <x:v>49</x:v>
      </x:c>
      <x:c r="O8" s="19" t="s">
        <x:v>337</x:v>
      </x:c>
      <x:c r="P8" s="19" t="str">
        <x:v>全体传送共享0.5秒球级锁，阻止多门环路</x:v>
      </x:c>
      <x:c r="Q8" s="19" t="s">
        <x:v>338</x:v>
      </x:c>
      <x:c r="R8" s="19" t="s">
        <x:v>305</x:v>
      </x:c>
      <x:c r="S8" s="19" t="str">
        <x:v>待测试</x:v>
      </x:c>
    </x:row>
    <x:row r="9" ht="78" customHeight="1">
      <x:c r="A9" s="3" t="s">
        <x:v>339</x:v>
      </x:c>
      <x:c r="B9" s="3" t="s">
        <x:v>340</x:v>
      </x:c>
      <x:c r="C9" s="3" t="s">
        <x:v>291</x:v>
      </x:c>
      <x:c r="D9" s="3" t="s">
        <x:v>341</x:v>
      </x:c>
      <x:c r="E9" s="3" t="s">
        <x:v>293</x:v>
      </x:c>
      <x:c r="F9" s="3" t="s">
        <x:v>342</x:v>
      </x:c>
      <x:c r="G9" s="3" t="s">
        <x:v>343</x:v>
      </x:c>
      <x:c r="H9" s="3" t="str">
        <x:v>过叶后，该球下一次有效得分结算的RUSH检定概率设为65%，结算时最多一次检定</x:v>
      </x:c>
      <x:c r="I9" s="3" t="s">
        <x:v>344</x:v>
      </x:c>
      <x:c r="J9" s="3" t="s">
        <x:v>297</x:v>
      </x:c>
      <x:c r="K9" s="3" t="s">
        <x:v>345</x:v>
      </x:c>
      <x:c r="L9" s="3" t="s">
        <x:v>346</x:v>
      </x:c>
      <x:c r="M9" s="3" t="s">
        <x:v>347</x:v>
      </x:c>
      <x:c r="N9" s="3" t="s">
        <x:v>301</x:v>
      </x:c>
      <x:c r="O9" s="3" t="s">
        <x:v>348</x:v>
      </x:c>
      <x:c r="P9" s="3" t="str">
        <x:v>Recommended：75%→65%；与肾上腺素合计88%，避免100%确定点火。</x:v>
      </x:c>
      <x:c r="Q9" s="3" t="s">
        <x:v>349</x:v>
      </x:c>
      <x:c r="R9" s="3" t="s">
        <x:v>350</x:v>
      </x:c>
      <x:c r="S9" s="3" t="str">
        <x:v>已模拟</x:v>
      </x:c>
    </x:row>
    <x:row r="10" s="15" customFormat="1" ht="78" customHeight="1">
      <x:c r="A10" s="20" t="s">
        <x:v>351</x:v>
      </x:c>
      <x:c r="B10" s="20" t="s">
        <x:v>352</x:v>
      </x:c>
      <x:c r="C10" s="20" t="s">
        <x:v>291</x:v>
      </x:c>
      <x:c r="D10" s="20" t="s">
        <x:v>353</x:v>
      </x:c>
      <x:c r="E10" s="20" t="s">
        <x:v>293</x:v>
      </x:c>
      <x:c r="F10" s="20" t="s">
        <x:v>354</x:v>
      </x:c>
      <x:c r="G10" s="20" t="s">
        <x:v>355</x:v>
      </x:c>
      <x:c r="H10" s="20" t="str">
        <x:v>价值≥2时生成两球，价值各半、体积各半，向下左右45°出射；价值&lt;2不分裂</x:v>
      </x:c>
      <x:c r="I10" s="20" t="s">
        <x:v>356</x:v>
      </x:c>
      <x:c r="J10" s="20" t="s">
        <x:v>357</x:v>
      </x:c>
      <x:c r="K10" s="20" t="s">
        <x:v>298</x:v>
      </x:c>
      <x:c r="L10" s="20" t="s">
        <x:v>358</x:v>
      </x:c>
      <x:c r="M10" s="20" t="s">
        <x:v>359</x:v>
      </x:c>
      <x:c r="N10" s="20" t="s">
        <x:v>49</x:v>
      </x:c>
      <x:c r="O10" s="20" t="s">
        <x:v>360</x:v>
      </x:c>
      <x:c r="P10" s="20"/>
      <x:c r="Q10" s="20" t="s">
        <x:v>361</x:v>
      </x:c>
      <x:c r="R10" s="20" t="s">
        <x:v>305</x:v>
      </x:c>
      <x:c r="S10" s="20"/>
    </x:row>
    <x:row r="11" s="16" customFormat="1" ht="78" customHeight="1">
      <x:c r="A11" s="21" t="s">
        <x:v>362</x:v>
      </x:c>
      <x:c r="B11" s="21" t="s">
        <x:v>363</x:v>
      </x:c>
      <x:c r="C11" s="21" t="s">
        <x:v>291</x:v>
      </x:c>
      <x:c r="D11" s="21" t="s">
        <x:v>364</x:v>
      </x:c>
      <x:c r="E11" s="21"/>
      <x:c r="F11" s="21"/>
      <x:c r="G11" s="21"/>
      <x:c r="H11" s="21" t="str">
        <x:v>被弹向弹板朝向方向</x:v>
      </x:c>
      <x:c r="I11" s="21" t="s">
        <x:v>365</x:v>
      </x:c>
      <x:c r="J11" s="21" t="s">
        <x:v>297</x:v>
      </x:c>
      <x:c r="K11" s="21" t="s">
        <x:v>298</x:v>
      </x:c>
      <x:c r="L11" s="21" t="s">
        <x:v>366</x:v>
      </x:c>
      <x:c r="M11" s="21" t="s">
        <x:v>367</x:v>
      </x:c>
      <x:c r="N11" s="21" t="s">
        <x:v>40</x:v>
      </x:c>
      <x:c r="O11" s="21" t="s">
        <x:v>368</x:v>
      </x:c>
      <x:c r="P11" s="21"/>
      <x:c r="Q11" s="21"/>
      <x:c r="R11" s="21"/>
      <x:c r="S11" s="21"/>
    </x:row>
    <x:row r="12" s="14" customFormat="1" ht="78" customHeight="1">
      <x:c r="A12" s="22" t="s">
        <x:v>369</x:v>
      </x:c>
      <x:c r="B12" s="19" t="s">
        <x:v>370</x:v>
      </x:c>
      <x:c r="C12" s="19" t="s">
        <x:v>291</x:v>
      </x:c>
      <x:c r="D12" s="19" t="s">
        <x:v>309</x:v>
      </x:c>
      <x:c r="E12" s="19"/>
      <x:c r="F12" s="19"/>
      <x:c r="G12" s="19"/>
      <x:c r="H12" s="19" t="str">
        <x:v>穿过后当前价值×1.85；同一装置遵循每球触发上限</x:v>
      </x:c>
      <x:c r="I12" s="19" t="s">
        <x:v>371</x:v>
      </x:c>
      <x:c r="J12" s="19" t="s">
        <x:v>297</x:v>
      </x:c>
      <x:c r="K12" s="22" t="s">
        <x:v>298</x:v>
      </x:c>
      <x:c r="L12" s="19" t="s">
        <x:v>372</x:v>
      </x:c>
      <x:c r="M12" s="19" t="s">
        <x:v>367</x:v>
      </x:c>
      <x:c r="N12" s="19" t="s">
        <x:v>373</x:v>
      </x:c>
      <x:c r="O12" s="19" t="s">
        <x:v>368</x:v>
      </x:c>
      <x:c r="P12" s="19" t="str">
        <x:v>Recommended：×2.00→×1.85，降低回流路线复利速度。</x:v>
      </x:c>
      <x:c r="Q12" s="19"/>
      <x:c r="R12" s="19"/>
      <x:c r="S12" s="19" t="str">
        <x:v>已模拟</x:v>
      </x:c>
    </x:row>
    <x:row r="13" s="16" customFormat="1" ht="78" customHeight="1">
      <x:c r="A13" s="22" t="s">
        <x:v>374</x:v>
      </x:c>
      <x:c r="B13" s="21" t="s">
        <x:v>375</x:v>
      </x:c>
      <x:c r="C13" s="21" t="s">
        <x:v>291</x:v>
      </x:c>
      <x:c r="D13" s="21" t="s">
        <x:v>309</x:v>
      </x:c>
      <x:c r="E13" s="21"/>
      <x:c r="F13" s="21"/>
      <x:c r="G13" s="21"/>
      <x:c r="H13" s="21" t="str">
        <x:v>球价值&lt;6时销毁；价值≥6时当前价值×2.70</x:v>
      </x:c>
      <x:c r="I13" s="19" t="s">
        <x:v>376</x:v>
      </x:c>
      <x:c r="J13" s="19" t="s">
        <x:v>297</x:v>
      </x:c>
      <x:c r="K13" s="22" t="s">
        <x:v>298</x:v>
      </x:c>
      <x:c r="L13" s="19" t="s">
        <x:v>377</x:v>
      </x:c>
      <x:c r="M13" s="19" t="s">
        <x:v>326</x:v>
      </x:c>
      <x:c r="N13" s="21" t="s">
        <x:v>373</x:v>
      </x:c>
      <x:c r="O13" s="21" t="s">
        <x:v>378</x:v>
      </x:c>
      <x:c r="P13" s="21" t="str">
        <x:v>Recommended：×3.00→×2.70；与透镜串联由×6降至×4.995。</x:v>
      </x:c>
      <x:c r="Q13" s="21"/>
      <x:c r="R13" s="21"/>
      <x:c r="S13" s="21" t="str">
        <x:v>已模拟</x:v>
      </x:c>
    </x:row>
    <x:row r="14" s="17" customFormat="1" ht="78" customHeight="1">
      <x:c r="A14" s="22" t="s">
        <x:v>374</x:v>
      </x:c>
      <x:c r="B14" s="19" t="s">
        <x:v>379</x:v>
      </x:c>
      <x:c r="C14" s="19" t="s">
        <x:v>291</x:v>
      </x:c>
      <x:c r="D14" s="19" t="s">
        <x:v>364</x:v>
      </x:c>
      <x:c r="E14" s="19"/>
      <x:c r="F14" s="19"/>
      <x:c r="G14" s="19"/>
      <x:c r="H14" s="19" t="str">
        <x:v>将血储存在装置中，存满10价值后以X形向四方发射血线，血线经过之处圆钉被摧毁。触发后装置销毁</x:v>
      </x:c>
      <x:c r="I14" s="19" t="s">
        <x:v>380</x:v>
      </x:c>
      <x:c r="J14" s="19" t="s">
        <x:v>381</x:v>
      </x:c>
      <x:c r="K14" s="22" t="s">
        <x:v>298</x:v>
      </x:c>
      <x:c r="L14" s="19" t="s">
        <x:v>382</x:v>
      </x:c>
      <x:c r="M14" s="19" t="s">
        <x:v>383</x:v>
      </x:c>
      <x:c r="N14" s="19" t="s">
        <x:v>301</x:v>
      </x:c>
      <x:c r="O14" s="19" t="s">
        <x:v>383</x:v>
      </x:c>
      <x:c r="P14" s="19"/>
      <x:c r="Q14" s="19"/>
      <x:c r="R14" s="19"/>
      <x:c r="S14" s="19"/>
    </x:row>
    <x:row r="15" s="16" customFormat="1" ht="78" customHeight="1">
      <x:c r="A15" s="21" t="s">
        <x:v>384</x:v>
      </x:c>
      <x:c r="B15" s="21" t="s">
        <x:v>385</x:v>
      </x:c>
      <x:c r="C15" s="21" t="s">
        <x:v>291</x:v>
      </x:c>
      <x:c r="D15" s="21" t="s">
        <x:v>386</x:v>
      </x:c>
      <x:c r="E15" s="21"/>
      <x:c r="F15" s="21"/>
      <x:c r="G15" s="21"/>
      <x:c r="H15" s="21" t="str">
        <x:v>球经过后，球速-30%</x:v>
      </x:c>
      <x:c r="I15" s="21" t="s">
        <x:v>387</x:v>
      </x:c>
      <x:c r="J15" s="19" t="s">
        <x:v>297</x:v>
      </x:c>
      <x:c r="K15" s="22" t="s">
        <x:v>298</x:v>
      </x:c>
      <x:c r="L15" s="19" t="s">
        <x:v>388</x:v>
      </x:c>
      <x:c r="M15" s="19" t="s">
        <x:v>367</x:v>
      </x:c>
      <x:c r="N15" s="21" t="s">
        <x:v>40</x:v>
      </x:c>
      <x:c r="O15" s="21" t="s">
        <x:v>368</x:v>
      </x:c>
      <x:c r="P15" s="21"/>
      <x:c r="Q15" s="21"/>
      <x:c r="R15" s="21"/>
      <x:c r="S15" s="21"/>
    </x:row>
    <x:row r="16" s="14" customFormat="1" ht="78" customHeight="1">
      <x:c r="A16" s="19" t="s">
        <x:v>389</x:v>
      </x:c>
      <x:c r="B16" s="19" t="s">
        <x:v>390</x:v>
      </x:c>
      <x:c r="C16" s="19" t="s">
        <x:v>291</x:v>
      </x:c>
      <x:c r="D16" s="19" t="s">
        <x:v>391</x:v>
      </x:c>
      <x:c r="E16" s="19"/>
      <x:c r="F16" s="19"/>
      <x:c r="G16" s="19"/>
      <x:c r="H16" s="19" t="str">
        <x:v>球经过后获得复活属性，可以在结算、销毁等状态后返还血液消耗量</x:v>
      </x:c>
      <x:c r="I16" s="19" t="s">
        <x:v>387</x:v>
      </x:c>
      <x:c r="J16" s="19" t="s">
        <x:v>297</x:v>
      </x:c>
      <x:c r="K16" s="22" t="s">
        <x:v>298</x:v>
      </x:c>
      <x:c r="L16" s="19" t="s">
        <x:v>392</x:v>
      </x:c>
      <x:c r="M16" s="19" t="s">
        <x:v>393</x:v>
      </x:c>
      <x:c r="N16" s="19" t="s">
        <x:v>58</x:v>
      </x:c>
      <x:c r="O16" s="19" t="s">
        <x:v>368</x:v>
      </x:c>
      <x:c r="P16" s="19"/>
      <x:c r="Q16" s="19"/>
      <x:c r="R16" s="19"/>
      <x:c r="S16" s="19"/>
    </x:row>
    <x:row r="17" s="18" customFormat="1" ht="78" customHeight="1">
      <x:c r="A17" s="21" t="s">
        <x:v>394</x:v>
      </x:c>
      <x:c r="B17" s="21" t="s">
        <x:v>395</x:v>
      </x:c>
      <x:c r="C17" s="21" t="s">
        <x:v>291</x:v>
      </x:c>
      <x:c r="D17" s="21" t="s">
        <x:v>386</x:v>
      </x:c>
      <x:c r="E17" s="21"/>
      <x:c r="F17" s="21"/>
      <x:c r="G17" s="21"/>
      <x:c r="H17" s="21" t="str">
        <x:v>圆形，上方对磁弹珠有排斥力，下方对磁弹珠有吸引力，会被吸铁石吸引发生位移。磁场范围为20cm半径圆。</x:v>
      </x:c>
      <x:c r="I17" s="21" t="s">
        <x:v>396</x:v>
      </x:c>
      <x:c r="J17" s="21" t="s">
        <x:v>297</x:v>
      </x:c>
      <x:c r="K17" s="21" t="s">
        <x:v>298</x:v>
      </x:c>
      <x:c r="L17" s="21" t="s">
        <x:v>397</x:v>
      </x:c>
      <x:c r="M17" s="21" t="s">
        <x:v>367</x:v>
      </x:c>
      <x:c r="N17" s="21" t="s">
        <x:v>301</x:v>
      </x:c>
      <x:c r="O17" s="21" t="s">
        <x:v>368</x:v>
      </x:c>
      <x:c r="P17" s="21"/>
      <x:c r="Q17" s="21"/>
      <x:c r="R17" s="21"/>
      <x:c r="S17" s="21"/>
    </x:row>
    <x:row r="18" s="14" customFormat="1" ht="78" customHeight="1">
      <x:c r="A18" s="19"/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</x:row>
    <x:row r="19" s="14" customFormat="1" ht="78" customHeight="1">
      <x:c r="A19" s="19"/>
      <x:c r="B19" s="19"/>
      <x:c r="C19" s="19"/>
      <x:c r="D19" s="19"/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  <x:c r="O19" s="19"/>
      <x:c r="P19" s="19"/>
      <x:c r="Q19" s="19"/>
      <x:c r="R19" s="19"/>
      <x:c r="S19" s="19"/>
    </x:row>
    <x:row r="20" s="18" customFormat="1" ht="78" customHeight="1">
      <x:c r="A20" s="21" t="s">
        <x:v>398</x:v>
      </x:c>
      <x:c r="B20" s="21" t="s">
        <x:v>399</x:v>
      </x:c>
      <x:c r="C20" s="21" t="s">
        <x:v>400</x:v>
      </x:c>
      <x:c r="D20" s="21" t="s">
        <x:v>341</x:v>
      </x:c>
      <x:c r="E20" s="21" t="s">
        <x:v>401</x:v>
      </x:c>
      <x:c r="F20" s="21" t="s">
        <x:v>402</x:v>
      </x:c>
      <x:c r="G20" s="21" t="s">
        <x:v>403</x:v>
      </x:c>
      <x:c r="H20" s="21" t="str">
        <x:v>6秒内发射球的RUSH检定概率+23%；每次发射血耗×1.15。</x:v>
      </x:c>
      <x:c r="I20" s="21" t="s">
        <x:v>404</x:v>
      </x:c>
      <x:c r="J20" s="21" t="s">
        <x:v>405</x:v>
      </x:c>
      <x:c r="K20" s="21" t="str">
        <x:v>6秒发射窗口</x:v>
      </x:c>
      <x:c r="L20" s="21" t="s">
        <x:v>406</x:v>
      </x:c>
      <x:c r="M20" s="21" t="str">
        <x:v>同类仅刷新窗口；不叠层</x:v>
      </x:c>
      <x:c r="N20" s="21" t="s">
        <x:v>301</x:v>
      </x:c>
      <x:c r="O20" s="21" t="s">
        <x:v>407</x:v>
      </x:c>
      <x:c r="P20" s="21" t="str">
        <x:v>Recommended：+25pp→+23pp；价格24→21。</x:v>
      </x:c>
      <x:c r="Q20" s="21" t="s">
        <x:v>408</x:v>
      </x:c>
      <x:c r="R20" s="21" t="s">
        <x:v>305</x:v>
      </x:c>
      <x:c r="S20" s="21" t="str">
        <x:v>已模拟</x:v>
      </x:c>
    </x:row>
    <x:row r="21" s="14" customFormat="1" ht="78" customHeight="1">
      <x:c r="A21" s="22" t="s">
        <x:v>409</x:v>
      </x:c>
      <x:c r="B21" s="22" t="s">
        <x:v>410</x:v>
      </x:c>
      <x:c r="C21" s="22" t="s">
        <x:v>400</x:v>
      </x:c>
      <x:c r="D21" s="22" t="s">
        <x:v>411</x:v>
      </x:c>
      <x:c r="E21" s="22" t="s">
        <x:v>412</x:v>
      </x:c>
      <x:c r="F21" s="22" t="s">
        <x:v>413</x:v>
      </x:c>
      <x:c r="G21" s="22" t="s">
        <x:v>414</x:v>
      </x:c>
      <x:c r="H21" s="22" t="str">
        <x:v>6秒内发射球基础价值×0.90；若在RUSH期间结算，得分额外×1.68。</x:v>
      </x:c>
      <x:c r="I21" s="22" t="s">
        <x:v>415</x:v>
      </x:c>
      <x:c r="J21" s="19" t="s">
        <x:v>405</x:v>
      </x:c>
      <x:c r="K21" s="22" t="str">
        <x:v>6秒发射窗口</x:v>
      </x:c>
      <x:c r="L21" s="22" t="s">
        <x:v>416</x:v>
      </x:c>
      <x:c r="M21" s="22" t="str">
        <x:v>同类刷新，不叠层</x:v>
      </x:c>
      <x:c r="N21" s="22" t="s">
        <x:v>49</x:v>
      </x:c>
      <x:c r="O21" s="22" t="str">
        <x:v>期间血液消耗×1.15</x:v>
      </x:c>
      <x:c r="P21" s="22" t="str">
        <x:v>Recommended：RUSH倍率×1.75→×1.68；价格24→22。</x:v>
      </x:c>
      <x:c r="Q21" s="22" t="s">
        <x:v>417</x:v>
      </x:c>
      <x:c r="R21" s="22" t="s">
        <x:v>350</x:v>
      </x:c>
      <x:c r="S21" s="22" t="str">
        <x:v>已模拟</x:v>
      </x:c>
    </x:row>
    <x:row r="22" s="16" customFormat="1" ht="78" customHeight="1">
      <x:c r="A22" s="21" t="s">
        <x:v>418</x:v>
      </x:c>
      <x:c r="B22" s="21" t="s">
        <x:v>419</x:v>
      </x:c>
      <x:c r="C22" s="21" t="s">
        <x:v>400</x:v>
      </x:c>
      <x:c r="D22" s="21" t="s">
        <x:v>420</x:v>
      </x:c>
      <x:c r="E22" s="21"/>
      <x:c r="F22" s="21"/>
      <x:c r="G22" s="21"/>
      <x:c r="H22" s="21" t="str">
        <x:v>6秒内发射球触发RUSH时，持续时间×1.45；每次发射血耗×1.15。</x:v>
      </x:c>
      <x:c r="I22" s="21" t="s">
        <x:v>404</x:v>
      </x:c>
      <x:c r="J22" s="21" t="s">
        <x:v>405</x:v>
      </x:c>
      <x:c r="K22" s="21" t="str">
        <x:v>6秒发射窗口</x:v>
      </x:c>
      <x:c r="L22" s="21" t="s">
        <x:v>421</x:v>
      </x:c>
      <x:c r="M22" s="21" t="str">
        <x:v>同类刷新，不叠层</x:v>
      </x:c>
      <x:c r="N22" s="21" t="s">
        <x:v>301</x:v>
      </x:c>
      <x:c r="O22" s="21" t="s">
        <x:v>407</x:v>
      </x:c>
      <x:c r="P22" s="21" t="str">
        <x:v>Recommended：持续倍率×1.50→×1.45；价格15→12。</x:v>
      </x:c>
      <x:c r="Q22" s="21"/>
      <x:c r="R22" s="21"/>
      <x:c r="S22" s="21" t="str">
        <x:v>已模拟</x:v>
      </x:c>
    </x:row>
    <x:row r="23" s="17" customFormat="1" ht="78" customHeight="1">
      <x:c r="A23" s="19" t="s">
        <x:v>422</x:v>
      </x:c>
      <x:c r="B23" s="19" t="s">
        <x:v>423</x:v>
      </x:c>
      <x:c r="C23" s="19" t="s">
        <x:v>400</x:v>
      </x:c>
      <x:c r="D23" s="19" t="s">
        <x:v>424</x:v>
      </x:c>
      <x:c r="E23" s="19" t="s">
        <x:v>412</x:v>
      </x:c>
      <x:c r="F23" s="19" t="s">
        <x:v>425</x:v>
      </x:c>
      <x:c r="G23" s="19" t="s">
        <x:v>426</x:v>
      </x:c>
      <x:c r="H23" s="19" t="str">
        <x:v>窗口内发射球摩擦×0.60，弹性+0.10，价值×0.90</x:v>
      </x:c>
      <x:c r="I23" s="19" t="s">
        <x:v>404</x:v>
      </x:c>
      <x:c r="J23" s="19" t="s">
        <x:v>405</x:v>
      </x:c>
      <x:c r="K23" s="19" t="str">
        <x:v>10秒发射窗口</x:v>
      </x:c>
      <x:c r="L23" s="19" t="s">
        <x:v>314</x:v>
      </x:c>
      <x:c r="M23" s="19" t="str">
        <x:v>同类刷新，不叠层</x:v>
      </x:c>
      <x:c r="N23" s="19" t="s">
        <x:v>40</x:v>
      </x:c>
      <x:c r="O23" s="19" t="s">
        <x:v>427</x:v>
      </x:c>
      <x:c r="P23" s="19" t="s">
        <x:v>428</x:v>
      </x:c>
      <x:c r="Q23" s="19" t="s">
        <x:v>429</x:v>
      </x:c>
      <x:c r="R23" s="19" t="s">
        <x:v>350</x:v>
      </x:c>
      <x:c r="S23" s="19" t="s">
        <x:v>306</x:v>
      </x:c>
    </x:row>
    <x:row r="24" s="16" customFormat="1" ht="78" customHeight="1">
      <x:c r="A24" s="21" t="s">
        <x:v>430</x:v>
      </x:c>
      <x:c r="B24" s="21" t="s">
        <x:v>431</x:v>
      </x:c>
      <x:c r="C24" s="21" t="s">
        <x:v>400</x:v>
      </x:c>
      <x:c r="D24" s="21" t="s">
        <x:v>432</x:v>
      </x:c>
      <x:c r="E24" s="21" t="s">
        <x:v>412</x:v>
      </x:c>
      <x:c r="F24" s="21" t="s">
        <x:v>433</x:v>
      </x:c>
      <x:c r="G24" s="21" t="s">
        <x:v>434</x:v>
      </x:c>
      <x:c r="H24" s="21" t="str">
        <x:v>窗口内发射球基础价值×1.30、体积×1.50、血耗×1.20</x:v>
      </x:c>
      <x:c r="I24" s="21" t="s">
        <x:v>404</x:v>
      </x:c>
      <x:c r="J24" s="21" t="s">
        <x:v>405</x:v>
      </x:c>
      <x:c r="K24" s="21" t="str">
        <x:v>10秒发射窗口</x:v>
      </x:c>
      <x:c r="L24" s="21" t="s">
        <x:v>314</x:v>
      </x:c>
      <x:c r="M24" s="21" t="str">
        <x:v>同类刷新，不叠层</x:v>
      </x:c>
      <x:c r="N24" s="21" t="s">
        <x:v>301</x:v>
      </x:c>
      <x:c r="O24" s="21" t="s">
        <x:v>435</x:v>
      </x:c>
      <x:c r="P24" s="21" t="s">
        <x:v>436</x:v>
      </x:c>
      <x:c r="Q24" s="21" t="s">
        <x:v>437</x:v>
      </x:c>
      <x:c r="R24" s="21" t="s">
        <x:v>350</x:v>
      </x:c>
      <x:c r="S24" s="21" t="s">
        <x:v>306</x:v>
      </x:c>
    </x:row>
    <x:row r="25" ht="78" customHeight="1">
      <x:c r="A25" s="3" t="s">
        <x:v>438</x:v>
      </x:c>
      <x:c r="B25" s="3" t="s">
        <x:v>439</x:v>
      </x:c>
      <x:c r="C25" s="3" t="s">
        <x:v>400</x:v>
      </x:c>
      <x:c r="D25" s="3" t="s">
        <x:v>424</x:v>
      </x:c>
      <x:c r="E25" s="3"/>
      <x:c r="F25" s="3"/>
      <x:c r="G25" s="3"/>
      <x:c r="H25" s="3" t="str">
        <x:v>窗口内发射球弹性+3，基础价值X1.30，血耗X1.20</x:v>
      </x:c>
      <x:c r="I25" s="3" t="s">
        <x:v>404</x:v>
      </x:c>
      <x:c r="J25" s="3" t="s">
        <x:v>405</x:v>
      </x:c>
      <x:c r="K25" s="3" t="str">
        <x:v>10秒发射窗口</x:v>
      </x:c>
      <x:c r="L25" s="3" t="s">
        <x:v>314</x:v>
      </x:c>
      <x:c r="M25" s="3" t="str">
        <x:v>不限次数</x:v>
      </x:c>
      <x:c r="N25" s="3" t="s">
        <x:v>49</x:v>
      </x:c>
      <x:c r="O25" s="3" t="s">
        <x:v>440</x:v>
      </x:c>
      <x:c r="P25" s="3"/>
      <x:c r="Q25" s="3"/>
      <x:c r="R25" s="3"/>
      <x:c r="S25" s="3"/>
    </x:row>
    <x:row r="26" s="16" customFormat="1" ht="78" customHeight="1">
      <x:c r="A26" s="21" t="s">
        <x:v>441</x:v>
      </x:c>
      <x:c r="B26" s="21" t="s">
        <x:v>442</x:v>
      </x:c>
      <x:c r="C26" s="21" t="s">
        <x:v>400</x:v>
      </x:c>
      <x:c r="D26" s="21" t="s">
        <x:v>424</x:v>
      </x:c>
      <x:c r="E26" s="21"/>
      <x:c r="F26" s="21"/>
      <x:c r="G26" s="21"/>
      <x:c r="H26" s="21" t="str">
        <x:v>窗口内发射球有30%概率穿过圆钉，基础价值X1.30，血耗X1.20</x:v>
      </x:c>
      <x:c r="I26" s="21" t="s">
        <x:v>404</x:v>
      </x:c>
      <x:c r="J26" s="21" t="s">
        <x:v>405</x:v>
      </x:c>
      <x:c r="K26" s="21" t="str">
        <x:v>10秒发射窗口</x:v>
      </x:c>
      <x:c r="L26" s="21" t="s">
        <x:v>314</x:v>
      </x:c>
      <x:c r="M26" s="21" t="str">
        <x:v>不限次数</x:v>
      </x:c>
      <x:c r="N26" s="21" t="s">
        <x:v>301</x:v>
      </x:c>
      <x:c r="O26" s="21" t="str">
        <x:v>血耗×2.0、体积×1.5</x:v>
      </x:c>
      <x:c r="P26" s="21"/>
      <x:c r="Q26" s="21"/>
      <x:c r="R26" s="21"/>
      <x:c r="S26" s="21"/>
    </x:row>
    <x:row r="27" ht="78" customHeight="1">
      <x:c r="A27" s="3" t="s">
        <x:v>443</x:v>
      </x:c>
      <x:c r="B27" s="3" t="s">
        <x:v>444</x:v>
      </x:c>
      <x:c r="C27" s="3" t="s">
        <x:v>400</x:v>
      </x:c>
      <x:c r="D27" s="3" t="s">
        <x:v>424</x:v>
      </x:c>
      <x:c r="E27" s="3"/>
      <x:c r="F27" s="3"/>
      <x:c r="G27" s="3"/>
      <x:c r="H27" s="3" t="str">
        <x:v>6秒窗口内发射球体积×1.5、血耗×2.0；接触装置或圆钉时复制，整条复制链最多2代。</x:v>
      </x:c>
      <x:c r="I27" s="3" t="s">
        <x:v>404</x:v>
      </x:c>
      <x:c r="J27" s="3" t="s">
        <x:v>445</x:v>
      </x:c>
      <x:c r="K27" s="3" t="str">
        <x:v>6秒发射窗口</x:v>
      </x:c>
      <x:c r="L27" s="3" t="s">
        <x:v>314</x:v>
      </x:c>
      <x:c r="M27" s="3" t="str">
        <x:v>同类刷新、不叠层；复制链最多2代</x:v>
      </x:c>
      <x:c r="N27" s="3" t="s">
        <x:v>58</x:v>
      </x:c>
      <x:c r="O27" s="3" t="s">
        <x:v>446</x:v>
      </x:c>
      <x:c r="P27" s="3" t="str">
        <x:v>安全修复：10秒→6秒，允许叠加→否；2^n递归改为最多2代。</x:v>
      </x:c>
      <x:c r="Q27" s="3"/>
      <x:c r="R27" s="3"/>
      <x:c r="S27" s="3" t="str">
        <x:v>已模拟</x:v>
      </x:c>
    </x:row>
    <x:row r="28" s="16" customFormat="1" ht="78" customHeight="1">
      <x:c r="A28" s="21" t="s">
        <x:v>447</x:v>
      </x:c>
      <x:c r="B28" s="21" t="s">
        <x:v>448</x:v>
      </x:c>
      <x:c r="C28" s="21" t="s">
        <x:v>400</x:v>
      </x:c>
      <x:c r="D28" s="21" t="s">
        <x:v>424</x:v>
      </x:c>
      <x:c r="E28" s="21"/>
      <x:c r="F28" s="21"/>
      <x:c r="G28" s="21"/>
      <x:c r="H28" s="21" t="str">
        <x:v>窗口内发射球具有磁力属性，磁场范围半径10cm，磁弹珠之间不会互相影响。血耗量X1.20，价值X1.10</x:v>
      </x:c>
      <x:c r="I28" s="21" t="s">
        <x:v>404</x:v>
      </x:c>
      <x:c r="J28" s="21" t="s">
        <x:v>405</x:v>
      </x:c>
      <x:c r="K28" s="21" t="str">
        <x:v>10秒发射窗口</x:v>
      </x:c>
      <x:c r="L28" s="21" t="s">
        <x:v>314</x:v>
      </x:c>
      <x:c r="M28" s="21" t="str">
        <x:v>不限次数</x:v>
      </x:c>
      <x:c r="N28" s="21" t="s">
        <x:v>301</x:v>
      </x:c>
      <x:c r="O28" s="21" t="s">
        <x:v>449</x:v>
      </x:c>
      <x:c r="P28" s="21"/>
      <x:c r="Q28" s="21"/>
      <x:c r="R28" s="21"/>
      <x:c r="S28" s="21"/>
    </x:row>
    <x:row r="29" ht="78" hidden="1" customHeight="1">
      <x:c r="A29" s="3" t="s">
        <x:v>430</x:v>
      </x:c>
      <x:c r="B29" s="3" t="s">
        <x:v>450</x:v>
      </x:c>
      <x:c r="C29" s="3" t="s">
        <x:v>400</x:v>
      </x:c>
      <x:c r="D29" s="3" t="s">
        <x:v>451</x:v>
      </x:c>
      <x:c r="E29" s="3" t="s">
        <x:v>412</x:v>
      </x:c>
      <x:c r="F29" s="3" t="s">
        <x:v>452</x:v>
      </x:c>
      <x:c r="G29" s="3" t="s">
        <x:v>434</x:v>
      </x:c>
      <x:c r="H29" s="3" t="str">
        <x:v>窗口内发射球首次通过传送门后，出口方向固定朝下；基础价值×0.90</x:v>
      </x:c>
      <x:c r="I29" s="3" t="s">
        <x:v>453</x:v>
      </x:c>
      <x:c r="J29" s="3" t="s">
        <x:v>405</x:v>
      </x:c>
      <x:c r="K29" s="3" t="str">
        <x:v>20秒发射窗口</x:v>
      </x:c>
      <x:c r="L29" s="3" t="s">
        <x:v>454</x:v>
      </x:c>
      <x:c r="M29" s="3" t="str">
        <x:v>同类刷新，不叠层</x:v>
      </x:c>
      <x:c r="N29" s="3" t="s">
        <x:v>40</x:v>
      </x:c>
      <x:c r="O29" s="3" t="s">
        <x:v>455</x:v>
      </x:c>
      <x:c r="P29" s="3" t="s">
        <x:v>456</x:v>
      </x:c>
      <x:c r="Q29" s="3" t="s">
        <x:v>457</x:v>
      </x:c>
      <x:c r="R29" s="3" t="s">
        <x:v>350</x:v>
      </x:c>
      <x:c r="S29" s="3" t="s">
        <x:v>306</x:v>
      </x:c>
    </x:row>
    <x:row r="30" ht="78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</x:row>
    <x:row r="31" s="17" customFormat="1" ht="78" customHeight="1">
      <x:c r="A31" s="19" t="s">
        <x:v>458</x:v>
      </x:c>
      <x:c r="B31" s="19" t="s">
        <x:v>459</x:v>
      </x:c>
      <x:c r="C31" s="19" t="s">
        <x:v>460</x:v>
      </x:c>
      <x:c r="D31" s="19" t="s">
        <x:v>461</x:v>
      </x:c>
      <x:c r="E31" s="19" t="s">
        <x:v>462</x:v>
      </x:c>
      <x:c r="F31" s="19" t="s">
        <x:v>463</x:v>
      </x:c>
      <x:c r="G31" s="19" t="s">
        <x:v>464</x:v>
      </x:c>
      <x:c r="H31" s="19" t="s">
        <x:v>465</x:v>
      </x:c>
      <x:c r="I31" s="19" t="s">
        <x:v>466</x:v>
      </x:c>
      <x:c r="J31" s="19" t="s">
        <x:v>467</x:v>
      </x:c>
      <x:c r="K31" s="19" t="s">
        <x:v>468</x:v>
      </x:c>
      <x:c r="L31" s="19" t="s">
        <x:v>469</x:v>
      </x:c>
      <x:c r="M31" s="19" t="s">
        <x:v>470</x:v>
      </x:c>
      <x:c r="N31" s="19" t="s">
        <x:v>40</x:v>
      </x:c>
      <x:c r="O31" s="19" t="s">
        <x:v>471</x:v>
      </x:c>
      <x:c r="P31" s="19" t="s">
        <x:v>472</x:v>
      </x:c>
      <x:c r="Q31" s="19" t="s">
        <x:v>473</x:v>
      </x:c>
      <x:c r="R31" s="19" t="s">
        <x:v>305</x:v>
      </x:c>
      <x:c r="S31" s="19" t="s">
        <x:v>306</x:v>
      </x:c>
    </x:row>
    <x:row r="32" ht="78" customHeight="1">
      <x:c r="A32" s="3" t="s">
        <x:v>474</x:v>
      </x:c>
      <x:c r="B32" s="3" t="s">
        <x:v>475</x:v>
      </x:c>
      <x:c r="C32" s="3" t="s">
        <x:v>460</x:v>
      </x:c>
      <x:c r="D32" s="3" t="s">
        <x:v>476</x:v>
      </x:c>
      <x:c r="E32" s="3" t="s">
        <x:v>462</x:v>
      </x:c>
      <x:c r="F32" s="3" t="s">
        <x:v>463</x:v>
      </x:c>
      <x:c r="G32" s="3" t="s">
        <x:v>464</x:v>
      </x:c>
      <x:c r="H32" s="3" t="s">
        <x:v>477</x:v>
      </x:c>
      <x:c r="I32" s="3" t="s">
        <x:v>478</x:v>
      </x:c>
      <x:c r="J32" s="3" t="s">
        <x:v>479</x:v>
      </x:c>
      <x:c r="K32" s="3" t="s">
        <x:v>468</x:v>
      </x:c>
      <x:c r="L32" s="3" t="s">
        <x:v>480</x:v>
      </x:c>
      <x:c r="M32" s="3" t="s">
        <x:v>470</x:v>
      </x:c>
      <x:c r="N32" s="3" t="s">
        <x:v>49</x:v>
      </x:c>
      <x:c r="O32" s="3" t="s">
        <x:v>481</x:v>
      </x:c>
      <x:c r="P32" s="3" t="s">
        <x:v>482</x:v>
      </x:c>
      <x:c r="Q32" s="3" t="s">
        <x:v>483</x:v>
      </x:c>
      <x:c r="R32" s="3" t="s">
        <x:v>350</x:v>
      </x:c>
      <x:c r="S32" s="3" t="s">
        <x:v>306</x:v>
      </x:c>
    </x:row>
    <x:row r="33" s="14" customFormat="1" ht="78" customHeight="1">
      <x:c r="A33" s="19" t="s">
        <x:v>484</x:v>
      </x:c>
      <x:c r="B33" s="19" t="s">
        <x:v>485</x:v>
      </x:c>
      <x:c r="C33" s="19" t="s">
        <x:v>460</x:v>
      </x:c>
      <x:c r="D33" s="19" t="s">
        <x:v>486</x:v>
      </x:c>
      <x:c r="E33" s="19" t="s">
        <x:v>462</x:v>
      </x:c>
      <x:c r="F33" s="19" t="s">
        <x:v>463</x:v>
      </x:c>
      <x:c r="G33" s="19" t="s">
        <x:v>464</x:v>
      </x:c>
      <x:c r="H33" s="19" t="s">
        <x:v>487</x:v>
      </x:c>
      <x:c r="I33" s="19" t="s">
        <x:v>488</x:v>
      </x:c>
      <x:c r="J33" s="19" t="s">
        <x:v>489</x:v>
      </x:c>
      <x:c r="K33" s="19" t="s">
        <x:v>490</x:v>
      </x:c>
      <x:c r="L33" s="19" t="s">
        <x:v>491</x:v>
      </x:c>
      <x:c r="M33" s="19" t="s">
        <x:v>470</x:v>
      </x:c>
      <x:c r="N33" s="19" t="s">
        <x:v>49</x:v>
      </x:c>
      <x:c r="O33" s="19" t="s">
        <x:v>471</x:v>
      </x:c>
      <x:c r="P33" s="19" t="s">
        <x:v>492</x:v>
      </x:c>
      <x:c r="Q33" s="19" t="s">
        <x:v>493</x:v>
      </x:c>
      <x:c r="R33" s="19" t="s">
        <x:v>350</x:v>
      </x:c>
      <x:c r="S33" s="19" t="s">
        <x:v>306</x:v>
      </x:c>
    </x:row>
    <x:row r="34" ht="78" customHeight="1">
      <x:c r="A34" s="3" t="s">
        <x:v>494</x:v>
      </x:c>
      <x:c r="B34" s="3" t="s">
        <x:v>495</x:v>
      </x:c>
      <x:c r="C34" s="3" t="s">
        <x:v>460</x:v>
      </x:c>
      <x:c r="D34" s="3" t="s">
        <x:v>496</x:v>
      </x:c>
      <x:c r="E34" s="3" t="s">
        <x:v>462</x:v>
      </x:c>
      <x:c r="F34" s="3" t="s">
        <x:v>463</x:v>
      </x:c>
      <x:c r="G34" s="3" t="s">
        <x:v>464</x:v>
      </x:c>
      <x:c r="H34" s="3" t="s">
        <x:v>497</x:v>
      </x:c>
      <x:c r="I34" s="3" t="s">
        <x:v>498</x:v>
      </x:c>
      <x:c r="J34" s="3" t="s">
        <x:v>499</x:v>
      </x:c>
      <x:c r="K34" s="3" t="s">
        <x:v>500</x:v>
      </x:c>
      <x:c r="L34" s="3" t="s">
        <x:v>501</x:v>
      </x:c>
      <x:c r="M34" s="3" t="s">
        <x:v>470</x:v>
      </x:c>
      <x:c r="N34" s="3" t="s">
        <x:v>301</x:v>
      </x:c>
      <x:c r="O34" s="3" t="s">
        <x:v>502</x:v>
      </x:c>
      <x:c r="P34" s="3" t="s">
        <x:v>503</x:v>
      </x:c>
      <x:c r="Q34" s="3" t="s">
        <x:v>504</x:v>
      </x:c>
      <x:c r="R34" s="3" t="s">
        <x:v>350</x:v>
      </x:c>
      <x:c r="S34" s="3" t="s">
        <x:v>306</x:v>
      </x:c>
    </x:row>
    <x:row r="35" s="14" customFormat="1" ht="78" customHeight="1">
      <x:c r="A35" s="19" t="s">
        <x:v>505</x:v>
      </x:c>
      <x:c r="B35" s="19" t="s">
        <x:v>506</x:v>
      </x:c>
      <x:c r="C35" s="19" t="s">
        <x:v>460</x:v>
      </x:c>
      <x:c r="D35" s="19" t="s">
        <x:v>507</x:v>
      </x:c>
      <x:c r="E35" s="19" t="s">
        <x:v>462</x:v>
      </x:c>
      <x:c r="F35" s="19" t="s">
        <x:v>463</x:v>
      </x:c>
      <x:c r="G35" s="19" t="s">
        <x:v>464</x:v>
      </x:c>
      <x:c r="H35" s="19" t="s">
        <x:v>508</x:v>
      </x:c>
      <x:c r="I35" s="19" t="s">
        <x:v>509</x:v>
      </x:c>
      <x:c r="J35" s="19" t="s">
        <x:v>510</x:v>
      </x:c>
      <x:c r="K35" s="19" t="s">
        <x:v>468</x:v>
      </x:c>
      <x:c r="L35" s="19" t="s">
        <x:v>511</x:v>
      </x:c>
      <x:c r="M35" s="19" t="s">
        <x:v>470</x:v>
      </x:c>
      <x:c r="N35" s="19" t="s">
        <x:v>49</x:v>
      </x:c>
      <x:c r="O35" s="19" t="s">
        <x:v>512</x:v>
      </x:c>
      <x:c r="P35" s="19" t="s">
        <x:v>513</x:v>
      </x:c>
      <x:c r="Q35" s="19" t="s">
        <x:v>514</x:v>
      </x:c>
      <x:c r="R35" s="19" t="s">
        <x:v>350</x:v>
      </x:c>
      <x:c r="S35" s="19" t="s">
        <x:v>306</x:v>
      </x:c>
    </x:row>
    <x:row r="36" ht="78" hidden="1" customHeight="1">
      <x:c r="A36" s="3" t="s">
        <x:v>515</x:v>
      </x:c>
      <x:c r="B36" s="3" t="s">
        <x:v>516</x:v>
      </x:c>
      <x:c r="C36" s="3" t="s">
        <x:v>460</x:v>
      </x:c>
      <x:c r="D36" s="3" t="s">
        <x:v>517</x:v>
      </x:c>
      <x:c r="E36" s="3" t="s">
        <x:v>462</x:v>
      </x:c>
      <x:c r="F36" s="3" t="s">
        <x:v>463</x:v>
      </x:c>
      <x:c r="G36" s="3" t="s">
        <x:v>464</x:v>
      </x:c>
      <x:c r="H36" s="3" t="s">
        <x:v>518</x:v>
      </x:c>
      <x:c r="I36" s="3" t="s">
        <x:v>519</x:v>
      </x:c>
      <x:c r="J36" s="3" t="s">
        <x:v>520</x:v>
      </x:c>
      <x:c r="K36" s="3" t="s">
        <x:v>521</x:v>
      </x:c>
      <x:c r="L36" s="3" t="s">
        <x:v>522</x:v>
      </x:c>
      <x:c r="M36" s="19" t="s">
        <x:v>470</x:v>
      </x:c>
      <x:c r="N36" s="3" t="s">
        <x:v>40</x:v>
      </x:c>
      <x:c r="O36" s="3" t="s">
        <x:v>523</x:v>
      </x:c>
      <x:c r="P36" s="3" t="s">
        <x:v>524</x:v>
      </x:c>
      <x:c r="Q36" s="3" t="s">
        <x:v>525</x:v>
      </x:c>
      <x:c r="R36" s="3" t="s">
        <x:v>350</x:v>
      </x:c>
      <x:c r="S36" s="3" t="s">
        <x:v>306</x:v>
      </x:c>
    </x:row>
    <x:row r="37" ht="65" customHeight="1">
      <x:c r="A37" s="3" t="s">
        <x:v>526</x:v>
      </x:c>
      <x:c r="B37" s="23" t="s">
        <x:v>527</x:v>
      </x:c>
      <x:c r="C37" s="23" t="s">
        <x:v>460</x:v>
      </x:c>
      <x:c r="D37" s="23" t="s">
        <x:v>364</x:v>
      </x:c>
      <x:c r="E37" s="23"/>
      <x:c r="F37" s="23"/>
      <x:c r="G37" s="23"/>
      <x:c r="H37" s="24" t="s">
        <x:v>528</x:v>
      </x:c>
      <x:c r="I37" s="23" t="s">
        <x:v>529</x:v>
      </x:c>
      <x:c r="J37" s="24" t="s">
        <x:v>530</x:v>
      </x:c>
      <x:c r="K37" s="23" t="s">
        <x:v>531</x:v>
      </x:c>
      <x:c r="L37" s="23" t="s">
        <x:v>532</x:v>
      </x:c>
      <x:c r="M37" s="19" t="s">
        <x:v>470</x:v>
      </x:c>
      <x:c r="N37" s="23" t="s">
        <x:v>373</x:v>
      </x:c>
      <x:c r="O37" s="23" t="s">
        <x:v>368</x:v>
      </x:c>
      <x:c r="P37" s="23"/>
      <x:c r="Q37" s="23"/>
    </x:row>
  </x:sheetData>
  <x:dataValidations count="4">
    <x:dataValidation type="list" sqref="C10 C11 C12 C13 C14 C15 C16 C17 C18 C19 C22 C23 C24 C25 C26 C27 C28 C29 C30 C37 C5:C9 C20:C21 C31:C36">
      <x:formula1>"装置,药物,道具"</x:formula1>
    </x:dataValidation>
    <x:dataValidation type="list" sqref="N10 N11 N12 N13 N14 N15 N16 N17 N18 N19 N22 N23 N24 N25 N28 N29 N30 N37 N5:N9 N20:N21 N26:N27 N31:N36">
      <x:formula1>"Common,Uncommon,Rare,Epic,Legendary"</x:formula1>
    </x:dataValidation>
    <x:dataValidation type="list" sqref="R10 R11 R12 R13 R14 R15 R16 R17 R18 R19 R22 R23 R24 R25 R26 R27 R28 R29 R30 R37 R5:R9 R20:R21 R31:R36">
      <x:formula1>"P0,P1,P2"</x:formula1>
    </x:dataValidation>
    <x:dataValidation type="list" sqref="S10 S11 S12 S13 S14 S15 S16 S17 S18 S19 S22 S23 S24 S25 S26 S27 S28 S29 S30 S37 S5:S9 S20:S21 S31:S36">
      <x:formula1>"待测试,待确认,已验证,搁置"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c2a2999d6c48a0"/>
  </x:tableParts>
</x:worksheet>
</file>

<file path=xl/worksheets/sheet3.xml><?xml version="1.0" encoding="utf-8"?>
<x:worksheet xmlns:x="http://schemas.openxmlformats.org/spreadsheetml/2006/main">
  <x:sheetPr>
    <x:tabColor rgb="FF622D3C"/>
  </x:sheetPr>
  <x:sheetViews>
    <x:sheetView showGridLines="0" workbookViewId="0">
      <x:pane xSplit="2" ySplit="4" topLeftCell="C5" activePane="bottomRight" state="frozen"/>
    </x:sheetView>
  </x:sheetViews>
  <x:sheetFormatPr defaultColWidth="9" defaultRowHeight="14"/>
  <x:cols>
    <x:col min="1" max="1" width="15" customWidth="1"/>
    <x:col min="2" max="2" width="12" customWidth="1"/>
    <x:col min="3" max="3" width="31" customWidth="1"/>
    <x:col min="4" max="5" width="12" customWidth="1"/>
    <x:col min="6" max="6" width="17" customWidth="1"/>
    <x:col min="7" max="7" width="22" customWidth="1"/>
    <x:col min="8" max="8" width="19" customWidth="1"/>
    <x:col min="9" max="9" width="12" customWidth="1"/>
    <x:col min="10" max="10" width="20" customWidth="1"/>
    <x:col min="11" max="11" width="12" customWidth="1"/>
    <x:col min="12" max="12" width="19" customWidth="1"/>
    <x:col min="13" max="13" width="25" customWidth="1"/>
    <x:col min="14" max="14" width="58" customWidth="1"/>
  </x:cols>
  <x:sheetData>
    <x:row r="2" ht="48" customHeight="1">
      <x:c r="A2" s="1" t="s">
        <x:v>533</x:v>
      </x:c>
    </x:row>
    <x:row r="3" ht="48" customHeight="1">
      <x:c r="A3" t="s">
        <x:v>534</x:v>
      </x:c>
    </x:row>
    <x:row r="4" ht="34" customHeight="1">
      <x:c r="A4" s="2" t="s">
        <x:v>535</x:v>
      </x:c>
      <x:c r="B4" s="2" t="s">
        <x:v>271</x:v>
      </x:c>
      <x:c r="C4" s="2" t="s">
        <x:v>7</x:v>
      </x:c>
      <x:c r="D4" s="2" t="s">
        <x:v>536</x:v>
      </x:c>
      <x:c r="E4" s="2" t="s">
        <x:v>537</x:v>
      </x:c>
      <x:c r="F4" s="2" t="s">
        <x:v>538</x:v>
      </x:c>
      <x:c r="G4" s="2" t="s">
        <x:v>278</x:v>
      </x:c>
      <x:c r="H4" s="2" t="s">
        <x:v>539</x:v>
      </x:c>
      <x:c r="I4" s="2" t="s">
        <x:v>540</x:v>
      </x:c>
      <x:c r="J4" s="2" t="s">
        <x:v>541</x:v>
      </x:c>
      <x:c r="K4" s="2" t="s">
        <x:v>542</x:v>
      </x:c>
      <x:c r="L4" s="2" t="s">
        <x:v>543</x:v>
      </x:c>
      <x:c r="M4" s="2" t="s">
        <x:v>544</x:v>
      </x:c>
      <x:c r="N4" s="2" t="s">
        <x:v>545</x:v>
      </x:c>
    </x:row>
    <x:row r="5" ht="48" customHeight="1">
      <x:c r="A5" s="3" t="s">
        <x:v>546</x:v>
      </x:c>
      <x:c r="B5" s="3" t="s">
        <x:v>289</x:v>
      </x:c>
      <x:c r="C5" s="3" t="s">
        <x:v>547</x:v>
      </x:c>
      <x:c r="D5" s="3" t="s">
        <x:v>548</x:v>
      </x:c>
      <x:c r="E5" s="12">
        <x:v>0.1</x:v>
      </x:c>
      <x:c r="F5" s="3" t="s">
        <x:v>549</x:v>
      </x:c>
      <x:c r="G5" s="3" t="s">
        <x:v>550</x:v>
      </x:c>
      <x:c r="H5" s="3" t="s">
        <x:v>297</x:v>
      </x:c>
      <x:c r="I5" s="12">
        <x:v>0</x:v>
      </x:c>
      <x:c r="J5" s="12" t="s">
        <x:v>298</x:v>
      </x:c>
      <x:c r="K5" s="12">
        <x:v>0</x:v>
      </x:c>
      <x:c r="L5" s="12">
        <x:v>1</x:v>
      </x:c>
      <x:c r="M5" s="3" t="s">
        <x:v>462</x:v>
      </x:c>
      <x:c r="N5" s="3" t="s">
        <x:v>551</x:v>
      </x:c>
    </x:row>
    <x:row r="6" ht="48" customHeight="1">
      <x:c r="A6" s="6" t="s">
        <x:v>552</x:v>
      </x:c>
      <x:c r="B6" s="6" t="s">
        <x:v>289</x:v>
      </x:c>
      <x:c r="C6" s="6" t="s">
        <x:v>553</x:v>
      </x:c>
      <x:c r="D6" s="6" t="s">
        <x:v>554</x:v>
      </x:c>
      <x:c r="E6" s="13">
        <x:v>0.2</x:v>
      </x:c>
      <x:c r="F6" s="6" t="s">
        <x:v>555</x:v>
      </x:c>
      <x:c r="G6" s="6" t="s">
        <x:v>550</x:v>
      </x:c>
      <x:c r="H6" s="6" t="s">
        <x:v>297</x:v>
      </x:c>
      <x:c r="I6" s="13">
        <x:v>0</x:v>
      </x:c>
      <x:c r="J6" s="13" t="s">
        <x:v>298</x:v>
      </x:c>
      <x:c r="K6" s="13">
        <x:v>0</x:v>
      </x:c>
      <x:c r="L6" s="13">
        <x:v>1</x:v>
      </x:c>
      <x:c r="M6" s="6" t="s">
        <x:v>556</x:v>
      </x:c>
      <x:c r="N6" s="6" t="s">
        <x:v>557</x:v>
      </x:c>
    </x:row>
    <x:row r="7" ht="48" customHeight="1">
      <x:c r="A7" s="3" t="s">
        <x:v>558</x:v>
      </x:c>
      <x:c r="B7" s="3" t="s">
        <x:v>307</x:v>
      </x:c>
      <x:c r="C7" s="3" t="s">
        <x:v>559</x:v>
      </x:c>
      <x:c r="D7" s="3" t="s">
        <x:v>548</x:v>
      </x:c>
      <x:c r="E7" s="12">
        <x:v>20</x:v>
      </x:c>
      <x:c r="F7" s="3" t="s">
        <x:v>560</x:v>
      </x:c>
      <x:c r="G7" s="3" t="s">
        <x:v>561</x:v>
      </x:c>
      <x:c r="H7" s="3" t="s">
        <x:v>562</x:v>
      </x:c>
      <x:c r="I7" s="12"/>
      <x:c r="J7" s="12" t="s">
        <x:v>563</x:v>
      </x:c>
      <x:c r="K7" s="12">
        <x:v>0</x:v>
      </x:c>
      <x:c r="L7" s="12"/>
      <x:c r="M7" s="3" t="s">
        <x:v>556</x:v>
      </x:c>
      <x:c r="N7" s="3" t="s">
        <x:v>564</x:v>
      </x:c>
    </x:row>
    <x:row r="8" ht="48" customHeight="1">
      <x:c r="A8" s="6" t="s">
        <x:v>565</x:v>
      </x:c>
      <x:c r="B8" s="6" t="s">
        <x:v>307</x:v>
      </x:c>
      <x:c r="C8" s="6" t="s">
        <x:v>59</x:v>
      </x:c>
      <x:c r="D8" s="6" t="s">
        <x:v>566</x:v>
      </x:c>
      <x:c r="E8" s="13">
        <x:v>1.2</x:v>
      </x:c>
      <x:c r="F8" s="6" t="s">
        <x:v>567</x:v>
      </x:c>
      <x:c r="G8" s="6" t="s">
        <x:v>568</x:v>
      </x:c>
      <x:c r="H8" s="6" t="s">
        <x:v>297</x:v>
      </x:c>
      <x:c r="I8" s="13"/>
      <x:c r="J8" s="13" t="s">
        <x:v>569</x:v>
      </x:c>
      <x:c r="K8" s="13">
        <x:v>0</x:v>
      </x:c>
      <x:c r="L8" s="13">
        <x:v>3</x:v>
      </x:c>
      <x:c r="M8" s="6" t="s">
        <x:v>462</x:v>
      </x:c>
      <x:c r="N8" s="6" t="s">
        <x:v>570</x:v>
      </x:c>
    </x:row>
    <x:row r="9" ht="48" customHeight="1">
      <x:c r="A9" s="3" t="s">
        <x:v>571</x:v>
      </x:c>
      <x:c r="B9" s="3" t="s">
        <x:v>319</x:v>
      </x:c>
      <x:c r="C9" s="3" t="s">
        <x:v>572</x:v>
      </x:c>
      <x:c r="D9" s="3" t="s">
        <x:v>554</x:v>
      </x:c>
      <x:c r="E9" s="12" t="n">
        <x:v>1</x:v>
      </x:c>
      <x:c r="F9" s="3" t="s">
        <x:v>573</x:v>
      </x:c>
      <x:c r="G9" s="3" t="s">
        <x:v>574</x:v>
      </x:c>
      <x:c r="H9" s="3" t="s">
        <x:v>297</x:v>
      </x:c>
      <x:c r="I9" s="12" t="n">
        <x:v>0</x:v>
      </x:c>
      <x:c r="J9" s="12" t="s">
        <x:v>298</x:v>
      </x:c>
      <x:c r="K9" s="12">
        <x:v>0.5</x:v>
      </x:c>
      <x:c r="L9" s="12">
        <x:v>2</x:v>
      </x:c>
      <x:c r="M9" s="3" t="str">
        <x:v>新增建议</x:v>
      </x:c>
      <x:c r="N9" s="3" t="s">
        <x:v>575</x:v>
      </x:c>
    </x:row>
    <x:row r="10" ht="48" customHeight="1">
      <x:c r="A10" s="6" t="s">
        <x:v>576</x:v>
      </x:c>
      <x:c r="B10" s="6" t="s">
        <x:v>329</x:v>
      </x:c>
      <x:c r="C10" s="6" t="s">
        <x:v>577</x:v>
      </x:c>
      <x:c r="D10" s="6" t="s">
        <x:v>578</x:v>
      </x:c>
      <x:c r="E10" s="13" t="n">
        <x:v>1</x:v>
      </x:c>
      <x:c r="F10" s="6" t="s">
        <x:v>579</x:v>
      </x:c>
      <x:c r="G10" s="6" t="s">
        <x:v>580</x:v>
      </x:c>
      <x:c r="H10" s="6" t="s">
        <x:v>297</x:v>
      </x:c>
      <x:c r="I10" s="13" t="n">
        <x:v>0</x:v>
      </x:c>
      <x:c r="J10" s="13" t="s">
        <x:v>298</x:v>
      </x:c>
      <x:c r="K10" s="13">
        <x:v>0.5</x:v>
      </x:c>
      <x:c r="L10" s="13">
        <x:v>2</x:v>
      </x:c>
      <x:c r="M10" s="6" t="str">
        <x:v>新增建议</x:v>
      </x:c>
      <x:c r="N10" s="6" t="s">
        <x:v>581</x:v>
      </x:c>
    </x:row>
    <x:row r="11" ht="48" customHeight="1">
      <x:c r="A11" s="3" t="s">
        <x:v>582</x:v>
      </x:c>
      <x:c r="B11" s="3" t="s">
        <x:v>339</x:v>
      </x:c>
      <x:c r="C11" s="3" t="s">
        <x:v>583</x:v>
      </x:c>
      <x:c r="D11" s="3" t="s">
        <x:v>548</x:v>
      </x:c>
      <x:c r="E11" s="12" t="n">
        <x:v>0.65</x:v>
      </x:c>
      <x:c r="F11" s="3" t="s">
        <x:v>584</x:v>
      </x:c>
      <x:c r="G11" s="3" t="s">
        <x:v>585</x:v>
      </x:c>
      <x:c r="H11" s="3" t="s">
        <x:v>586</x:v>
      </x:c>
      <x:c r="I11" s="12"/>
      <x:c r="J11" s="12" t="s">
        <x:v>587</x:v>
      </x:c>
      <x:c r="K11" s="12">
        <x:v>0</x:v>
      </x:c>
      <x:c r="L11" s="12">
        <x:v>1</x:v>
      </x:c>
      <x:c r="M11" s="3" t="str">
        <x:v>Recommended模拟校准</x:v>
      </x:c>
      <x:c r="N11" s="3" t="s">
        <x:v>588</x:v>
      </x:c>
    </x:row>
    <x:row r="12" ht="48" customHeight="1">
      <x:c r="A12" s="6" t="s">
        <x:v>589</x:v>
      </x:c>
      <x:c r="B12" s="6" t="s">
        <x:v>351</x:v>
      </x:c>
      <x:c r="C12" s="6" t="s">
        <x:v>590</x:v>
      </x:c>
      <x:c r="D12" s="6" t="s">
        <x:v>548</x:v>
      </x:c>
      <x:c r="E12" s="13">
        <x:v>4</x:v>
      </x:c>
      <x:c r="F12" s="6" t="s">
        <x:v>591</x:v>
      </x:c>
      <x:c r="G12" s="6" t="s">
        <x:v>592</x:v>
      </x:c>
      <x:c r="H12" s="6" t="s">
        <x:v>291</x:v>
      </x:c>
      <x:c r="I12" s="13">
        <x:v>2</x:v>
      </x:c>
      <x:c r="J12" s="13" t="s">
        <x:v>593</x:v>
      </x:c>
      <x:c r="K12" s="13">
        <x:v>0</x:v>
      </x:c>
      <x:c r="L12" s="13">
        <x:v>1</x:v>
      </x:c>
      <x:c r="M12" s="6" t="s">
        <x:v>462</x:v>
      </x:c>
      <x:c r="N12" s="6" t="s">
        <x:v>594</x:v>
      </x:c>
    </x:row>
    <x:row r="13" ht="48" customHeight="1">
      <x:c r="A13" s="3" t="s">
        <x:v>595</x:v>
      </x:c>
      <x:c r="B13" s="3" t="s">
        <x:v>351</x:v>
      </x:c>
      <x:c r="C13" s="3" t="s">
        <x:v>596</x:v>
      </x:c>
      <x:c r="D13" s="3" t="s">
        <x:v>548</x:v>
      </x:c>
      <x:c r="E13" s="12">
        <x:v>0.15</x:v>
      </x:c>
      <x:c r="F13" s="3" t="s">
        <x:v>597</x:v>
      </x:c>
      <x:c r="G13" s="3" t="s">
        <x:v>598</x:v>
      </x:c>
      <x:c r="H13" s="3" t="s">
        <x:v>291</x:v>
      </x:c>
      <x:c r="I13" s="12">
        <x:v>0</x:v>
      </x:c>
      <x:c r="J13" s="12" t="s">
        <x:v>298</x:v>
      </x:c>
      <x:c r="K13" s="12">
        <x:v>0</x:v>
      </x:c>
      <x:c r="L13" s="12"/>
      <x:c r="M13" s="3" t="s">
        <x:v>462</x:v>
      </x:c>
      <x:c r="N13" s="3" t="s">
        <x:v>599</x:v>
      </x:c>
    </x:row>
    <x:row r="14" ht="48" customHeight="1">
      <x:c r="A14" s="6" t="s">
        <x:v>600</x:v>
      </x:c>
      <x:c r="B14" s="6" t="s">
        <x:v>362</x:v>
      </x:c>
      <x:c r="C14" s="6" t="s">
        <x:v>147</x:v>
      </x:c>
      <x:c r="D14" s="6" t="s">
        <x:v>548</x:v>
      </x:c>
      <x:c r="E14" s="13">
        <x:v>2</x:v>
      </x:c>
      <x:c r="F14" s="6" t="s">
        <x:v>601</x:v>
      </x:c>
      <x:c r="G14" s="6" t="s">
        <x:v>602</x:v>
      </x:c>
      <x:c r="H14" s="6" t="s">
        <x:v>586</x:v>
      </x:c>
      <x:c r="I14" s="13">
        <x:v>0</x:v>
      </x:c>
      <x:c r="J14" s="13" t="s">
        <x:v>298</x:v>
      </x:c>
      <x:c r="K14" s="13">
        <x:v>0</x:v>
      </x:c>
      <x:c r="L14" s="13">
        <x:v>2</x:v>
      </x:c>
      <x:c r="M14" s="6" t="s">
        <x:v>603</x:v>
      </x:c>
      <x:c r="N14" s="6" t="s">
        <x:v>604</x:v>
      </x:c>
    </x:row>
    <x:row r="15" ht="48" customHeight="1">
      <x:c r="A15" s="3" t="s">
        <x:v>605</x:v>
      </x:c>
      <x:c r="B15" s="3" t="s">
        <x:v>362</x:v>
      </x:c>
      <x:c r="C15" s="3" t="s">
        <x:v>154</x:v>
      </x:c>
      <x:c r="D15" s="3" t="s">
        <x:v>548</x:v>
      </x:c>
      <x:c r="E15" s="12" t="n">
        <x:v>0.5</x:v>
      </x:c>
      <x:c r="F15" s="3" t="s">
        <x:v>555</x:v>
      </x:c>
      <x:c r="G15" s="3" t="s">
        <x:v>606</x:v>
      </x:c>
      <x:c r="H15" s="3" t="s">
        <x:v>607</x:v>
      </x:c>
      <x:c r="I15" s="12"/>
      <x:c r="J15" s="12" t="s">
        <x:v>569</x:v>
      </x:c>
      <x:c r="K15" s="12">
        <x:v>0</x:v>
      </x:c>
      <x:c r="L15" s="12">
        <x:v>2</x:v>
      </x:c>
      <x:c r="M15" s="3" t="str">
        <x:v>原表</x:v>
      </x:c>
      <x:c r="N15" s="3" t="s">
        <x:v>608</x:v>
      </x:c>
    </x:row>
    <x:row r="16" ht="48" customHeight="1">
      <x:c r="A16" s="6" t="s">
        <x:v>609</x:v>
      </x:c>
      <x:c r="B16" s="6" t="s">
        <x:v>362</x:v>
      </x:c>
      <x:c r="C16" s="6" t="s">
        <x:v>610</x:v>
      </x:c>
      <x:c r="D16" s="6" t="s">
        <x:v>566</x:v>
      </x:c>
      <x:c r="E16" s="13" t="n">
        <x:v>0.5</x:v>
      </x:c>
      <x:c r="F16" s="6" t="s">
        <x:v>567</x:v>
      </x:c>
      <x:c r="G16" s="6" t="s">
        <x:v>606</x:v>
      </x:c>
      <x:c r="H16" s="6" t="s">
        <x:v>607</x:v>
      </x:c>
      <x:c r="I16" s="13"/>
      <x:c r="J16" s="13" t="s">
        <x:v>611</x:v>
      </x:c>
      <x:c r="K16" s="13">
        <x:v>0</x:v>
      </x:c>
      <x:c r="L16" s="13">
        <x:v>2</x:v>
      </x:c>
      <x:c r="M16" s="6" t="str">
        <x:v>原表</x:v>
      </x:c>
      <x:c r="N16" s="6" t="s">
        <x:v>612</x:v>
      </x:c>
    </x:row>
    <x:row r="17" ht="48" customHeight="1">
      <x:c r="A17" s="3" t="s">
        <x:v>613</x:v>
      </x:c>
      <x:c r="B17" s="3" t="s">
        <x:v>398</x:v>
      </x:c>
      <x:c r="C17" s="3" t="s">
        <x:v>583</x:v>
      </x:c>
      <x:c r="D17" s="3" t="s">
        <x:v>554</x:v>
      </x:c>
      <x:c r="E17" s="12" t="n">
        <x:v>0.23</x:v>
      </x:c>
      <x:c r="F17" s="3" t="s">
        <x:v>584</x:v>
      </x:c>
      <x:c r="G17" s="3" t="s">
        <x:v>614</x:v>
      </x:c>
      <x:c r="H17" s="3" t="s">
        <x:v>615</x:v>
      </x:c>
      <x:c r="I17" s="12" t="n">
        <x:v>6</x:v>
      </x:c>
      <x:c r="J17" s="12" t="s">
        <x:v>616</x:v>
      </x:c>
      <x:c r="K17" s="12">
        <x:v>0</x:v>
      </x:c>
      <x:c r="L17" s="12">
        <x:v>1</x:v>
      </x:c>
      <x:c r="M17" s="3" t="str">
        <x:v>Recommended模拟校准</x:v>
      </x:c>
      <x:c r="N17" s="3" t="s">
        <x:v>617</x:v>
      </x:c>
    </x:row>
    <x:row r="18" ht="48" customHeight="1">
      <x:c r="A18" s="6" t="s">
        <x:v>618</x:v>
      </x:c>
      <x:c r="B18" s="6" t="s">
        <x:v>398</x:v>
      </x:c>
      <x:c r="C18" s="6" t="s">
        <x:v>30</x:v>
      </x:c>
      <x:c r="D18" s="6" t="s">
        <x:v>566</x:v>
      </x:c>
      <x:c r="E18" s="13" t="n">
        <x:v>1.15</x:v>
      </x:c>
      <x:c r="F18" s="6" t="s">
        <x:v>567</x:v>
      </x:c>
      <x:c r="G18" s="6" t="s">
        <x:v>614</x:v>
      </x:c>
      <x:c r="H18" s="6" t="s">
        <x:v>619</x:v>
      </x:c>
      <x:c r="I18" s="13" t="n">
        <x:v>6</x:v>
      </x:c>
      <x:c r="J18" s="13" t="s">
        <x:v>616</x:v>
      </x:c>
      <x:c r="K18" s="13">
        <x:v>0</x:v>
      </x:c>
      <x:c r="L18" s="13">
        <x:v>1</x:v>
      </x:c>
      <x:c r="M18" s="6" t="str">
        <x:v>Recommended模拟校准</x:v>
      </x:c>
      <x:c r="N18" s="6" t="s">
        <x:v>620</x:v>
      </x:c>
    </x:row>
    <x:row r="19" ht="48" customHeight="1">
      <x:c r="A19" s="3" t="s">
        <x:v>621</x:v>
      </x:c>
      <x:c r="B19" s="3" t="s">
        <x:v>409</x:v>
      </x:c>
      <x:c r="C19" s="3" t="s">
        <x:v>622</x:v>
      </x:c>
      <x:c r="D19" s="3" t="s">
        <x:v>566</x:v>
      </x:c>
      <x:c r="E19" s="12" t="n">
        <x:v>1.68</x:v>
      </x:c>
      <x:c r="F19" s="3" t="s">
        <x:v>567</x:v>
      </x:c>
      <x:c r="G19" s="3" t="s">
        <x:v>623</x:v>
      </x:c>
      <x:c r="H19" s="3" t="s">
        <x:v>615</x:v>
      </x:c>
      <x:c r="I19" s="12" t="n">
        <x:v>6</x:v>
      </x:c>
      <x:c r="J19" s="12" t="s">
        <x:v>616</x:v>
      </x:c>
      <x:c r="K19" s="12">
        <x:v>0</x:v>
      </x:c>
      <x:c r="L19" s="12">
        <x:v>1</x:v>
      </x:c>
      <x:c r="M19" s="3" t="str">
        <x:v>Recommended模拟校准</x:v>
      </x:c>
      <x:c r="N19" s="3" t="s">
        <x:v>624</x:v>
      </x:c>
    </x:row>
    <x:row r="20" ht="48" customHeight="1">
      <x:c r="A20" s="6" t="s">
        <x:v>625</x:v>
      </x:c>
      <x:c r="B20" s="6" t="s">
        <x:v>409</x:v>
      </x:c>
      <x:c r="C20" s="6" t="s">
        <x:v>59</x:v>
      </x:c>
      <x:c r="D20" s="6" t="s">
        <x:v>566</x:v>
      </x:c>
      <x:c r="E20" s="13" t="n">
        <x:v>0.9</x:v>
      </x:c>
      <x:c r="F20" s="6" t="s">
        <x:v>567</x:v>
      </x:c>
      <x:c r="G20" s="6" t="s">
        <x:v>614</x:v>
      </x:c>
      <x:c r="H20" s="6" t="s">
        <x:v>615</x:v>
      </x:c>
      <x:c r="I20" s="13" t="n">
        <x:v>6</x:v>
      </x:c>
      <x:c r="J20" s="13" t="s">
        <x:v>616</x:v>
      </x:c>
      <x:c r="K20" s="13">
        <x:v>0</x:v>
      </x:c>
      <x:c r="L20" s="13">
        <x:v>1</x:v>
      </x:c>
      <x:c r="M20" s="6" t="str">
        <x:v>Recommended模拟校准</x:v>
      </x:c>
      <x:c r="N20" s="6" t="s">
        <x:v>626</x:v>
      </x:c>
    </x:row>
    <x:row r="21" ht="48" customHeight="1">
      <x:c r="A21" s="3" t="s">
        <x:v>627</x:v>
      </x:c>
      <x:c r="B21" s="3" t="s">
        <x:v>418</x:v>
      </x:c>
      <x:c r="C21" s="3" t="s">
        <x:v>105</x:v>
      </x:c>
      <x:c r="D21" s="3" t="s">
        <x:v>566</x:v>
      </x:c>
      <x:c r="E21" s="12">
        <x:v>0.6</x:v>
      </x:c>
      <x:c r="F21" s="3" t="s">
        <x:v>567</x:v>
      </x:c>
      <x:c r="G21" s="3" t="s">
        <x:v>614</x:v>
      </x:c>
      <x:c r="H21" s="3" t="s">
        <x:v>615</x:v>
      </x:c>
      <x:c r="I21" s="12">
        <x:v>20</x:v>
      </x:c>
      <x:c r="J21" s="12" t="s">
        <x:v>616</x:v>
      </x:c>
      <x:c r="K21" s="12">
        <x:v>0</x:v>
      </x:c>
      <x:c r="L21" s="12">
        <x:v>1</x:v>
      </x:c>
      <x:c r="M21" s="3" t="s">
        <x:v>628</x:v>
      </x:c>
      <x:c r="N21" s="3" t="s">
        <x:v>629</x:v>
      </x:c>
    </x:row>
    <x:row r="22" ht="48" customHeight="1">
      <x:c r="A22" s="6" t="s">
        <x:v>630</x:v>
      </x:c>
      <x:c r="B22" s="6" t="s">
        <x:v>418</x:v>
      </x:c>
      <x:c r="C22" s="6" t="s">
        <x:v>98</x:v>
      </x:c>
      <x:c r="D22" s="6" t="s">
        <x:v>554</x:v>
      </x:c>
      <x:c r="E22" s="13">
        <x:v>0.1</x:v>
      </x:c>
      <x:c r="F22" s="6" t="s">
        <x:v>555</x:v>
      </x:c>
      <x:c r="G22" s="6" t="s">
        <x:v>614</x:v>
      </x:c>
      <x:c r="H22" s="6" t="s">
        <x:v>615</x:v>
      </x:c>
      <x:c r="I22" s="13">
        <x:v>20</x:v>
      </x:c>
      <x:c r="J22" s="13" t="s">
        <x:v>616</x:v>
      </x:c>
      <x:c r="K22" s="13">
        <x:v>0</x:v>
      </x:c>
      <x:c r="L22" s="13">
        <x:v>1</x:v>
      </x:c>
      <x:c r="M22" s="6" t="s">
        <x:v>462</x:v>
      </x:c>
      <x:c r="N22" s="6" t="s">
        <x:v>631</x:v>
      </x:c>
    </x:row>
    <x:row r="23" ht="48" customHeight="1">
      <x:c r="A23" s="3" t="s">
        <x:v>632</x:v>
      </x:c>
      <x:c r="B23" s="3" t="s">
        <x:v>418</x:v>
      </x:c>
      <x:c r="C23" s="3" t="s">
        <x:v>59</x:v>
      </x:c>
      <x:c r="D23" s="3" t="s">
        <x:v>566</x:v>
      </x:c>
      <x:c r="E23" s="12">
        <x:v>0.9</x:v>
      </x:c>
      <x:c r="F23" s="3" t="s">
        <x:v>567</x:v>
      </x:c>
      <x:c r="G23" s="3" t="s">
        <x:v>614</x:v>
      </x:c>
      <x:c r="H23" s="3" t="s">
        <x:v>615</x:v>
      </x:c>
      <x:c r="I23" s="12">
        <x:v>20</x:v>
      </x:c>
      <x:c r="J23" s="12" t="s">
        <x:v>616</x:v>
      </x:c>
      <x:c r="K23" s="12">
        <x:v>0</x:v>
      </x:c>
      <x:c r="L23" s="12">
        <x:v>1</x:v>
      </x:c>
      <x:c r="M23" s="3" t="s">
        <x:v>462</x:v>
      </x:c>
      <x:c r="N23" s="3" t="s">
        <x:v>633</x:v>
      </x:c>
    </x:row>
    <x:row r="24" ht="48" customHeight="1">
      <x:c r="A24" s="6" t="s">
        <x:v>634</x:v>
      </x:c>
      <x:c r="B24" s="6" t="s">
        <x:v>422</x:v>
      </x:c>
      <x:c r="C24" s="6" t="s">
        <x:v>635</x:v>
      </x:c>
      <x:c r="D24" s="6" t="s">
        <x:v>566</x:v>
      </x:c>
      <x:c r="E24" s="13">
        <x:v>1.25</x:v>
      </x:c>
      <x:c r="F24" s="6" t="s">
        <x:v>567</x:v>
      </x:c>
      <x:c r="G24" s="6" t="s">
        <x:v>550</x:v>
      </x:c>
      <x:c r="H24" s="6" t="s">
        <x:v>615</x:v>
      </x:c>
      <x:c r="I24" s="13">
        <x:v>20</x:v>
      </x:c>
      <x:c r="J24" s="13" t="s">
        <x:v>616</x:v>
      </x:c>
      <x:c r="K24" s="13">
        <x:v>0</x:v>
      </x:c>
      <x:c r="L24" s="13">
        <x:v>1</x:v>
      </x:c>
      <x:c r="M24" s="6" t="s">
        <x:v>628</x:v>
      </x:c>
      <x:c r="N24" s="6" t="s">
        <x:v>636</x:v>
      </x:c>
    </x:row>
    <x:row r="25" ht="48" customHeight="1">
      <x:c r="A25" s="3" t="s">
        <x:v>637</x:v>
      </x:c>
      <x:c r="B25" s="3" t="s">
        <x:v>422</x:v>
      </x:c>
      <x:c r="C25" s="3" t="s">
        <x:v>638</x:v>
      </x:c>
      <x:c r="D25" s="3" t="s">
        <x:v>566</x:v>
      </x:c>
      <x:c r="E25" s="12">
        <x:v>0.8</x:v>
      </x:c>
      <x:c r="F25" s="3" t="s">
        <x:v>567</x:v>
      </x:c>
      <x:c r="G25" s="3" t="s">
        <x:v>639</x:v>
      </x:c>
      <x:c r="H25" s="3" t="s">
        <x:v>615</x:v>
      </x:c>
      <x:c r="I25" s="12">
        <x:v>20</x:v>
      </x:c>
      <x:c r="J25" s="12" t="s">
        <x:v>616</x:v>
      </x:c>
      <x:c r="K25" s="12">
        <x:v>0</x:v>
      </x:c>
      <x:c r="L25" s="12">
        <x:v>1</x:v>
      </x:c>
      <x:c r="M25" s="3" t="s">
        <x:v>462</x:v>
      </x:c>
      <x:c r="N25" s="3" t="s">
        <x:v>640</x:v>
      </x:c>
    </x:row>
    <x:row r="26" ht="48" customHeight="1">
      <x:c r="A26" s="6" t="s">
        <x:v>641</x:v>
      </x:c>
      <x:c r="B26" s="6" t="s">
        <x:v>642</x:v>
      </x:c>
      <x:c r="C26" s="6" t="s">
        <x:v>59</x:v>
      </x:c>
      <x:c r="D26" s="6" t="s">
        <x:v>566</x:v>
      </x:c>
      <x:c r="E26" s="13">
        <x:v>1.3</x:v>
      </x:c>
      <x:c r="F26" s="6" t="s">
        <x:v>567</x:v>
      </x:c>
      <x:c r="G26" s="6" t="s">
        <x:v>614</x:v>
      </x:c>
      <x:c r="H26" s="6" t="s">
        <x:v>615</x:v>
      </x:c>
      <x:c r="I26" s="13">
        <x:v>20</x:v>
      </x:c>
      <x:c r="J26" s="13" t="s">
        <x:v>616</x:v>
      </x:c>
      <x:c r="K26" s="13">
        <x:v>0</x:v>
      </x:c>
      <x:c r="L26" s="13">
        <x:v>1</x:v>
      </x:c>
      <x:c r="M26" s="6" t="s">
        <x:v>628</x:v>
      </x:c>
      <x:c r="N26" s="6" t="s">
        <x:v>643</x:v>
      </x:c>
    </x:row>
    <x:row r="27" ht="48" customHeight="1">
      <x:c r="A27" s="3" t="s">
        <x:v>644</x:v>
      </x:c>
      <x:c r="B27" s="3" t="s">
        <x:v>642</x:v>
      </x:c>
      <x:c r="C27" s="3" t="s">
        <x:v>610</x:v>
      </x:c>
      <x:c r="D27" s="3" t="s">
        <x:v>566</x:v>
      </x:c>
      <x:c r="E27" s="12">
        <x:v>1.5</x:v>
      </x:c>
      <x:c r="F27" s="3" t="s">
        <x:v>567</x:v>
      </x:c>
      <x:c r="G27" s="3" t="s">
        <x:v>614</x:v>
      </x:c>
      <x:c r="H27" s="3" t="s">
        <x:v>615</x:v>
      </x:c>
      <x:c r="I27" s="12">
        <x:v>20</x:v>
      </x:c>
      <x:c r="J27" s="12" t="s">
        <x:v>616</x:v>
      </x:c>
      <x:c r="K27" s="12">
        <x:v>0</x:v>
      </x:c>
      <x:c r="L27" s="12">
        <x:v>1</x:v>
      </x:c>
      <x:c r="M27" s="3" t="s">
        <x:v>462</x:v>
      </x:c>
      <x:c r="N27" s="3" t="s">
        <x:v>645</x:v>
      </x:c>
    </x:row>
    <x:row r="28" ht="48" customHeight="1">
      <x:c r="A28" s="6" t="s">
        <x:v>646</x:v>
      </x:c>
      <x:c r="B28" s="6" t="s">
        <x:v>642</x:v>
      </x:c>
      <x:c r="C28" s="6" t="s">
        <x:v>30</x:v>
      </x:c>
      <x:c r="D28" s="6" t="s">
        <x:v>566</x:v>
      </x:c>
      <x:c r="E28" s="13">
        <x:v>1.2</x:v>
      </x:c>
      <x:c r="F28" s="6" t="s">
        <x:v>567</x:v>
      </x:c>
      <x:c r="G28" s="6" t="s">
        <x:v>614</x:v>
      </x:c>
      <x:c r="H28" s="6" t="s">
        <x:v>619</x:v>
      </x:c>
      <x:c r="I28" s="13">
        <x:v>20</x:v>
      </x:c>
      <x:c r="J28" s="13" t="s">
        <x:v>616</x:v>
      </x:c>
      <x:c r="K28" s="13">
        <x:v>0</x:v>
      </x:c>
      <x:c r="L28" s="13">
        <x:v>1</x:v>
      </x:c>
      <x:c r="M28" s="6" t="s">
        <x:v>462</x:v>
      </x:c>
      <x:c r="N28" s="6" t="s">
        <x:v>647</x:v>
      </x:c>
    </x:row>
    <x:row r="29" ht="48" customHeight="1">
      <x:c r="A29" s="3" t="s">
        <x:v>648</x:v>
      </x:c>
      <x:c r="B29" s="3" t="s">
        <x:v>430</x:v>
      </x:c>
      <x:c r="C29" s="3" t="s">
        <x:v>649</x:v>
      </x:c>
      <x:c r="D29" s="3" t="s">
        <x:v>548</x:v>
      </x:c>
      <x:c r="E29" s="12">
        <x:v>1</x:v>
      </x:c>
      <x:c r="F29" s="3" t="s">
        <x:v>650</x:v>
      </x:c>
      <x:c r="G29" s="3" t="s">
        <x:v>651</x:v>
      </x:c>
      <x:c r="H29" s="3" t="s">
        <x:v>615</x:v>
      </x:c>
      <x:c r="I29" s="12">
        <x:v>20</x:v>
      </x:c>
      <x:c r="J29" s="12" t="s">
        <x:v>616</x:v>
      </x:c>
      <x:c r="K29" s="12">
        <x:v>0</x:v>
      </x:c>
      <x:c r="L29" s="12">
        <x:v>1</x:v>
      </x:c>
      <x:c r="M29" s="3" t="s">
        <x:v>628</x:v>
      </x:c>
      <x:c r="N29" s="3" t="s">
        <x:v>652</x:v>
      </x:c>
    </x:row>
    <x:row r="30" ht="48" customHeight="1">
      <x:c r="A30" s="6" t="s">
        <x:v>653</x:v>
      </x:c>
      <x:c r="B30" s="6" t="s">
        <x:v>430</x:v>
      </x:c>
      <x:c r="C30" s="6" t="s">
        <x:v>59</x:v>
      </x:c>
      <x:c r="D30" s="6" t="s">
        <x:v>566</x:v>
      </x:c>
      <x:c r="E30" s="13">
        <x:v>0.9</x:v>
      </x:c>
      <x:c r="F30" s="6" t="s">
        <x:v>567</x:v>
      </x:c>
      <x:c r="G30" s="6" t="s">
        <x:v>614</x:v>
      </x:c>
      <x:c r="H30" s="6" t="s">
        <x:v>615</x:v>
      </x:c>
      <x:c r="I30" s="13">
        <x:v>20</x:v>
      </x:c>
      <x:c r="J30" s="13" t="s">
        <x:v>616</x:v>
      </x:c>
      <x:c r="K30" s="13">
        <x:v>0</x:v>
      </x:c>
      <x:c r="L30" s="13">
        <x:v>1</x:v>
      </x:c>
      <x:c r="M30" s="6" t="s">
        <x:v>462</x:v>
      </x:c>
      <x:c r="N30" s="6" t="s">
        <x:v>654</x:v>
      </x:c>
    </x:row>
    <x:row r="31" ht="48" customHeight="1">
      <x:c r="A31" s="3" t="s">
        <x:v>655</x:v>
      </x:c>
      <x:c r="B31" s="3" t="s">
        <x:v>458</x:v>
      </x:c>
      <x:c r="C31" s="3" t="s">
        <x:v>656</x:v>
      </x:c>
      <x:c r="D31" s="3" t="s">
        <x:v>548</x:v>
      </x:c>
      <x:c r="E31" s="12">
        <x:v>1</x:v>
      </x:c>
      <x:c r="F31" s="3" t="s">
        <x:v>650</x:v>
      </x:c>
      <x:c r="G31" s="3" t="s">
        <x:v>561</x:v>
      </x:c>
      <x:c r="H31" s="3" t="s">
        <x:v>657</x:v>
      </x:c>
      <x:c r="I31" s="12"/>
      <x:c r="J31" s="12" t="s">
        <x:v>658</x:v>
      </x:c>
      <x:c r="K31" s="12">
        <x:v>0</x:v>
      </x:c>
      <x:c r="L31" s="12">
        <x:v>1</x:v>
      </x:c>
      <x:c r="M31" s="3" t="s">
        <x:v>462</x:v>
      </x:c>
      <x:c r="N31" s="3" t="s">
        <x:v>659</x:v>
      </x:c>
    </x:row>
    <x:row r="32" ht="48" customHeight="1">
      <x:c r="A32" s="6" t="s">
        <x:v>660</x:v>
      </x:c>
      <x:c r="B32" s="6" t="s">
        <x:v>474</x:v>
      </x:c>
      <x:c r="C32" s="6" t="s">
        <x:v>30</x:v>
      </x:c>
      <x:c r="D32" s="6" t="s">
        <x:v>566</x:v>
      </x:c>
      <x:c r="E32" s="13">
        <x:v>0.9</x:v>
      </x:c>
      <x:c r="F32" s="6" t="s">
        <x:v>567</x:v>
      </x:c>
      <x:c r="G32" s="6" t="s">
        <x:v>614</x:v>
      </x:c>
      <x:c r="H32" s="6" t="s">
        <x:v>619</x:v>
      </x:c>
      <x:c r="I32" s="13"/>
      <x:c r="J32" s="13" t="s">
        <x:v>658</x:v>
      </x:c>
      <x:c r="K32" s="13">
        <x:v>0</x:v>
      </x:c>
      <x:c r="L32" s="13">
        <x:v>1</x:v>
      </x:c>
      <x:c r="M32" s="6" t="s">
        <x:v>462</x:v>
      </x:c>
      <x:c r="N32" s="6" t="s">
        <x:v>661</x:v>
      </x:c>
    </x:row>
    <x:row r="33" ht="48" customHeight="1">
      <x:c r="A33" s="3" t="s">
        <x:v>662</x:v>
      </x:c>
      <x:c r="B33" s="3" t="s">
        <x:v>474</x:v>
      </x:c>
      <x:c r="C33" s="3" t="s">
        <x:v>59</x:v>
      </x:c>
      <x:c r="D33" s="3" t="s">
        <x:v>566</x:v>
      </x:c>
      <x:c r="E33" s="12">
        <x:v>0.95</x:v>
      </x:c>
      <x:c r="F33" s="3" t="s">
        <x:v>567</x:v>
      </x:c>
      <x:c r="G33" s="3" t="s">
        <x:v>614</x:v>
      </x:c>
      <x:c r="H33" s="3" t="s">
        <x:v>615</x:v>
      </x:c>
      <x:c r="I33" s="12"/>
      <x:c r="J33" s="12" t="s">
        <x:v>658</x:v>
      </x:c>
      <x:c r="K33" s="12">
        <x:v>0</x:v>
      </x:c>
      <x:c r="L33" s="12">
        <x:v>1</x:v>
      </x:c>
      <x:c r="M33" s="3" t="s">
        <x:v>462</x:v>
      </x:c>
      <x:c r="N33" s="3" t="s">
        <x:v>663</x:v>
      </x:c>
    </x:row>
    <x:row r="34" ht="48" customHeight="1">
      <x:c r="A34" s="6" t="s">
        <x:v>664</x:v>
      </x:c>
      <x:c r="B34" s="6" t="s">
        <x:v>484</x:v>
      </x:c>
      <x:c r="C34" s="6" t="s">
        <x:v>665</x:v>
      </x:c>
      <x:c r="D34" s="6" t="s">
        <x:v>566</x:v>
      </x:c>
      <x:c r="E34" s="13">
        <x:v>1.1499999999999999</x:v>
      </x:c>
      <x:c r="F34" s="6" t="s">
        <x:v>567</x:v>
      </x:c>
      <x:c r="G34" s="6" t="s">
        <x:v>666</x:v>
      </x:c>
      <x:c r="H34" s="6" t="s">
        <x:v>667</x:v>
      </x:c>
      <x:c r="I34" s="13"/>
      <x:c r="J34" s="13" t="s">
        <x:v>658</x:v>
      </x:c>
      <x:c r="K34" s="13">
        <x:v>0</x:v>
      </x:c>
      <x:c r="L34" s="13">
        <x:v>1</x:v>
      </x:c>
      <x:c r="M34" s="6" t="s">
        <x:v>462</x:v>
      </x:c>
      <x:c r="N34" s="6" t="s">
        <x:v>668</x:v>
      </x:c>
    </x:row>
    <x:row r="35" ht="48" customHeight="1">
      <x:c r="A35" s="3" t="s">
        <x:v>669</x:v>
      </x:c>
      <x:c r="B35" s="3" t="s">
        <x:v>494</x:v>
      </x:c>
      <x:c r="C35" s="3" t="s">
        <x:v>670</x:v>
      </x:c>
      <x:c r="D35" s="3" t="s">
        <x:v>548</x:v>
      </x:c>
      <x:c r="E35" s="12">
        <x:v>0.2</x:v>
      </x:c>
      <x:c r="F35" s="3" t="s">
        <x:v>555</x:v>
      </x:c>
      <x:c r="G35" s="3" t="s">
        <x:v>671</x:v>
      </x:c>
      <x:c r="H35" s="3" t="s">
        <x:v>672</x:v>
      </x:c>
      <x:c r="I35" s="12"/>
      <x:c r="J35" s="12" t="s">
        <x:v>500</x:v>
      </x:c>
      <x:c r="K35" s="12">
        <x:v>0</x:v>
      </x:c>
      <x:c r="L35" s="12">
        <x:v>1</x:v>
      </x:c>
      <x:c r="M35" s="3" t="s">
        <x:v>462</x:v>
      </x:c>
      <x:c r="N35" s="3" t="s">
        <x:v>673</x:v>
      </x:c>
    </x:row>
    <x:row r="36" ht="48" customHeight="1">
      <x:c r="A36" s="6" t="s">
        <x:v>674</x:v>
      </x:c>
      <x:c r="B36" s="6" t="s">
        <x:v>505</x:v>
      </x:c>
      <x:c r="C36" s="6" t="s">
        <x:v>195</x:v>
      </x:c>
      <x:c r="D36" s="6" t="s">
        <x:v>554</x:v>
      </x:c>
      <x:c r="E36" s="13">
        <x:v>2</x:v>
      </x:c>
      <x:c r="F36" s="6" t="s">
        <x:v>675</x:v>
      </x:c>
      <x:c r="G36" s="6" t="s">
        <x:v>676</x:v>
      </x:c>
      <x:c r="H36" s="6" t="s">
        <x:v>288</x:v>
      </x:c>
      <x:c r="I36" s="13"/>
      <x:c r="J36" s="13" t="s">
        <x:v>658</x:v>
      </x:c>
      <x:c r="K36" s="13">
        <x:v>0</x:v>
      </x:c>
      <x:c r="L36" s="13">
        <x:v>1</x:v>
      </x:c>
      <x:c r="M36" s="6" t="s">
        <x:v>462</x:v>
      </x:c>
      <x:c r="N36" s="6" t="s">
        <x:v>677</x:v>
      </x:c>
    </x:row>
    <x:row r="37" ht="48" customHeight="1">
      <x:c r="A37" s="3" t="s">
        <x:v>678</x:v>
      </x:c>
      <x:c r="B37" s="3" t="s">
        <x:v>505</x:v>
      </x:c>
      <x:c r="C37" s="3" t="s">
        <x:v>202</x:v>
      </x:c>
      <x:c r="D37" s="3" t="s">
        <x:v>554</x:v>
      </x:c>
      <x:c r="E37" s="12">
        <x:v>-0.2</x:v>
      </x:c>
      <x:c r="F37" s="3" t="s">
        <x:v>567</x:v>
      </x:c>
      <x:c r="G37" s="3" t="s">
        <x:v>676</x:v>
      </x:c>
      <x:c r="H37" s="3" t="s">
        <x:v>288</x:v>
      </x:c>
      <x:c r="I37" s="12"/>
      <x:c r="J37" s="12" t="s">
        <x:v>658</x:v>
      </x:c>
      <x:c r="K37" s="12">
        <x:v>0</x:v>
      </x:c>
      <x:c r="L37" s="12">
        <x:v>1</x:v>
      </x:c>
      <x:c r="M37" s="3" t="s">
        <x:v>462</x:v>
      </x:c>
      <x:c r="N37" s="3" t="s">
        <x:v>679</x:v>
      </x:c>
    </x:row>
    <x:row r="38" ht="48" customHeight="1">
      <x:c r="A38" s="6" t="s">
        <x:v>680</x:v>
      </x:c>
      <x:c r="B38" s="6" t="s">
        <x:v>515</x:v>
      </x:c>
      <x:c r="C38" s="6" t="s">
        <x:v>681</x:v>
      </x:c>
      <x:c r="D38" s="6" t="s">
        <x:v>548</x:v>
      </x:c>
      <x:c r="E38" s="13">
        <x:v>2</x:v>
      </x:c>
      <x:c r="F38" s="6" t="s">
        <x:v>675</x:v>
      </x:c>
      <x:c r="G38" s="6" t="s">
        <x:v>682</x:v>
      </x:c>
      <x:c r="H38" s="6" t="s">
        <x:v>683</x:v>
      </x:c>
      <x:c r="I38" s="13"/>
      <x:c r="J38" s="13" t="s">
        <x:v>684</x:v>
      </x:c>
      <x:c r="K38" s="13">
        <x:v>0</x:v>
      </x:c>
      <x:c r="L38" s="13">
        <x:v>1</x:v>
      </x:c>
      <x:c r="M38" s="6" t="s">
        <x:v>462</x:v>
      </x:c>
      <x:c r="N38" s="6" t="s">
        <x:v>685</x:v>
      </x:c>
    </x:row>
    <x:row r="39" ht="48" customHeight="1">
      <x:c r="A39" s="3" t="s">
        <x:v>686</x:v>
      </x:c>
      <x:c r="B39" s="3" t="s">
        <x:v>515</x:v>
      </x:c>
      <x:c r="C39" s="3" t="s">
        <x:v>687</x:v>
      </x:c>
      <x:c r="D39" s="3" t="s">
        <x:v>548</x:v>
      </x:c>
      <x:c r="E39" s="12">
        <x:v>2</x:v>
      </x:c>
      <x:c r="F39" s="3" t="s">
        <x:v>573</x:v>
      </x:c>
      <x:c r="G39" s="3" t="s">
        <x:v>688</x:v>
      </x:c>
      <x:c r="H39" s="3" t="s">
        <x:v>683</x:v>
      </x:c>
      <x:c r="I39" s="12">
        <x:v>0</x:v>
      </x:c>
      <x:c r="J39" s="12" t="s">
        <x:v>298</x:v>
      </x:c>
      <x:c r="K39" s="12">
        <x:v>0</x:v>
      </x:c>
      <x:c r="L39" s="12">
        <x:v>1</x:v>
      </x:c>
      <x:c r="M39" s="3" t="s">
        <x:v>462</x:v>
      </x:c>
      <x:c r="N39" s="3" t="s">
        <x:v>689</x:v>
      </x:c>
    </x:row>
  </x:sheetData>
  <x:dataValidations count="1">
    <x:dataValidation type="list" sqref="D5:D39">
      <x:formula1>"SET,ADD,MUL,EVENT"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04be78e95f47c1"/>
  </x:tableParts>
</x:worksheet>
</file>

<file path=xl/worksheets/sheet4.xml><?xml version="1.0" encoding="utf-8"?>
<x:worksheet xmlns:x="http://schemas.openxmlformats.org/spreadsheetml/2006/main">
  <x:sheetPr>
    <x:tabColor rgb="FF622D3C"/>
  </x:sheetPr>
  <x:sheetViews>
    <x:sheetView showGridLines="0" workbookViewId="0">
      <x:pane xSplit="2" ySplit="4" topLeftCell="C5" activePane="bottomRight" state="frozen"/>
    </x:sheetView>
  </x:sheetViews>
  <x:sheetFormatPr defaultColWidth="9" defaultRowHeight="14"/>
  <x:cols>
    <x:col min="1" max="1" width="33" customWidth="1"/>
    <x:col min="2" max="2" width="20" customWidth="1"/>
    <x:col min="3" max="3" width="93" customWidth="1"/>
    <x:col min="4" max="4" width="28" customWidth="1"/>
  </x:cols>
  <x:sheetData>
    <x:row r="2" ht="48" customHeight="1">
      <x:c r="A2" s="1" t="s">
        <x:v>690</x:v>
      </x:c>
    </x:row>
    <x:row r="3" ht="17" customHeight="1"/>
    <x:row r="4" ht="34" customHeight="1">
      <x:c r="A4" s="2" t="s">
        <x:v>7</x:v>
      </x:c>
      <x:c r="B4" s="2" t="s">
        <x:v>538</x:v>
      </x:c>
      <x:c r="C4" s="2" t="s">
        <x:v>691</x:v>
      </x:c>
      <x:c r="D4" s="2" t="s">
        <x:v>288</x:v>
      </x:c>
    </x:row>
    <x:row r="5" ht="48" customHeight="1">
      <x:c r="A5" s="3" t="s">
        <x:v>547</x:v>
      </x:c>
      <x:c r="B5" s="3" t="s">
        <x:v>549</x:v>
      </x:c>
      <x:c r="C5" s="3" t="s">
        <x:v>692</x:v>
      </x:c>
      <x:c r="D5" s="3" t="s">
        <x:v>693</x:v>
      </x:c>
    </x:row>
    <x:row r="6" ht="48" customHeight="1">
      <x:c r="A6" s="6" t="s">
        <x:v>553</x:v>
      </x:c>
      <x:c r="B6" s="6" t="s">
        <x:v>555</x:v>
      </x:c>
      <x:c r="C6" s="6" t="s">
        <x:v>694</x:v>
      </x:c>
      <x:c r="D6" s="6" t="s">
        <x:v>693</x:v>
      </x:c>
    </x:row>
    <x:row r="7" ht="48" customHeight="1">
      <x:c r="A7" s="3" t="s">
        <x:v>559</x:v>
      </x:c>
      <x:c r="B7" s="3" t="s">
        <x:v>560</x:v>
      </x:c>
      <x:c r="C7" s="3" t="s">
        <x:v>695</x:v>
      </x:c>
      <x:c r="D7" s="3" t="s">
        <x:v>693</x:v>
      </x:c>
    </x:row>
    <x:row r="8" ht="48" customHeight="1">
      <x:c r="A8" s="6" t="s">
        <x:v>572</x:v>
      </x:c>
      <x:c r="B8" s="6" t="s">
        <x:v>573</x:v>
      </x:c>
      <x:c r="C8" s="6" t="s">
        <x:v>696</x:v>
      </x:c>
      <x:c r="D8" s="6" t="s">
        <x:v>693</x:v>
      </x:c>
    </x:row>
    <x:row r="9" ht="48" customHeight="1">
      <x:c r="A9" s="3" t="s">
        <x:v>577</x:v>
      </x:c>
      <x:c r="B9" s="3" t="s">
        <x:v>579</x:v>
      </x:c>
      <x:c r="C9" s="3" t="s">
        <x:v>697</x:v>
      </x:c>
      <x:c r="D9" s="3" t="s">
        <x:v>693</x:v>
      </x:c>
    </x:row>
    <x:row r="10" ht="48" customHeight="1">
      <x:c r="A10" s="6" t="s">
        <x:v>583</x:v>
      </x:c>
      <x:c r="B10" s="6" t="s">
        <x:v>584</x:v>
      </x:c>
      <x:c r="C10" s="6" t="s">
        <x:v>698</x:v>
      </x:c>
      <x:c r="D10" s="6" t="s">
        <x:v>693</x:v>
      </x:c>
    </x:row>
    <x:row r="11" ht="48" customHeight="1">
      <x:c r="A11" s="3" t="s">
        <x:v>596</x:v>
      </x:c>
      <x:c r="B11" s="3" t="s">
        <x:v>597</x:v>
      </x:c>
      <x:c r="C11" s="3" t="s">
        <x:v>699</x:v>
      </x:c>
      <x:c r="D11" s="3" t="s">
        <x:v>693</x:v>
      </x:c>
    </x:row>
    <x:row r="12" ht="48" customHeight="1">
      <x:c r="A12" s="6" t="s">
        <x:v>610</x:v>
      </x:c>
      <x:c r="B12" s="6" t="s">
        <x:v>567</x:v>
      </x:c>
      <x:c r="C12" s="6" t="s">
        <x:v>700</x:v>
      </x:c>
      <x:c r="D12" s="6" t="s">
        <x:v>693</x:v>
      </x:c>
    </x:row>
    <x:row r="13" ht="48" customHeight="1">
      <x:c r="A13" s="3" t="s">
        <x:v>622</x:v>
      </x:c>
      <x:c r="B13" s="3" t="s">
        <x:v>567</x:v>
      </x:c>
      <x:c r="C13" s="3" t="s">
        <x:v>701</x:v>
      </x:c>
      <x:c r="D13" s="3" t="s">
        <x:v>693</x:v>
      </x:c>
    </x:row>
    <x:row r="14" ht="48" customHeight="1">
      <x:c r="A14" s="6" t="s">
        <x:v>635</x:v>
      </x:c>
      <x:c r="B14" s="6" t="s">
        <x:v>567</x:v>
      </x:c>
      <x:c r="C14" s="6" t="s">
        <x:v>702</x:v>
      </x:c>
      <x:c r="D14" s="6" t="s">
        <x:v>693</x:v>
      </x:c>
    </x:row>
    <x:row r="15" ht="48" customHeight="1">
      <x:c r="A15" s="3" t="s">
        <x:v>638</x:v>
      </x:c>
      <x:c r="B15" s="3" t="s">
        <x:v>567</x:v>
      </x:c>
      <x:c r="C15" s="3" t="s">
        <x:v>703</x:v>
      </x:c>
      <x:c r="D15" s="3" t="s">
        <x:v>693</x:v>
      </x:c>
    </x:row>
    <x:row r="16" ht="48" customHeight="1">
      <x:c r="A16" s="6" t="s">
        <x:v>649</x:v>
      </x:c>
      <x:c r="B16" s="6" t="s">
        <x:v>650</x:v>
      </x:c>
      <x:c r="C16" s="6" t="s">
        <x:v>704</x:v>
      </x:c>
      <x:c r="D16" s="6" t="s">
        <x:v>693</x:v>
      </x:c>
    </x:row>
    <x:row r="17" ht="48" customHeight="1">
      <x:c r="A17" s="3" t="s">
        <x:v>656</x:v>
      </x:c>
      <x:c r="B17" s="3" t="s">
        <x:v>650</x:v>
      </x:c>
      <x:c r="C17" s="3" t="s">
        <x:v>705</x:v>
      </x:c>
      <x:c r="D17" s="3" t="s">
        <x:v>693</x:v>
      </x:c>
    </x:row>
    <x:row r="18" ht="48" customHeight="1">
      <x:c r="A18" s="6" t="s">
        <x:v>665</x:v>
      </x:c>
      <x:c r="B18" s="6" t="s">
        <x:v>567</x:v>
      </x:c>
      <x:c r="C18" s="6" t="s">
        <x:v>706</x:v>
      </x:c>
      <x:c r="D18" s="6" t="s">
        <x:v>693</x:v>
      </x:c>
    </x:row>
    <x:row r="19" ht="48" customHeight="1">
      <x:c r="A19" s="3" t="s">
        <x:v>670</x:v>
      </x:c>
      <x:c r="B19" s="3" t="s">
        <x:v>555</x:v>
      </x:c>
      <x:c r="C19" s="3" t="s">
        <x:v>707</x:v>
      </x:c>
      <x:c r="D19" s="3" t="s">
        <x:v>693</x:v>
      </x:c>
    </x:row>
    <x:row r="20" ht="48" customHeight="1">
      <x:c r="A20" s="6" t="s">
        <x:v>681</x:v>
      </x:c>
      <x:c r="B20" s="6" t="s">
        <x:v>675</x:v>
      </x:c>
      <x:c r="C20" s="6" t="s">
        <x:v>708</x:v>
      </x:c>
      <x:c r="D20" s="6" t="s">
        <x:v>693</x:v>
      </x:c>
    </x:row>
    <x:row r="21" ht="48" customHeight="1">
      <x:c r="A21" s="3" t="s">
        <x:v>687</x:v>
      </x:c>
      <x:c r="B21" s="3" t="s">
        <x:v>573</x:v>
      </x:c>
      <x:c r="C21" s="3" t="s">
        <x:v>709</x:v>
      </x:c>
      <x:c r="D21" s="3" t="s">
        <x:v>693</x:v>
      </x:c>
    </x:row>
  </x:sheetData>
  <x:pageMargins left="0.7" right="0.7" top="0.75" bottom="0.75" header="0.3" footer="0.3"/>
  <x:tableParts count="1">
    <x:tablePart xmlns:r="http://schemas.openxmlformats.org/officeDocument/2006/relationships" r:id="R09a941a98655471d"/>
  </x:tableParts>
</x:worksheet>
</file>

<file path=xl/worksheets/sheet5.xml><?xml version="1.0" encoding="utf-8"?>
<x:worksheet xmlns:x="http://schemas.openxmlformats.org/spreadsheetml/2006/main">
  <x:sheetPr>
    <x:tabColor rgb="FF622D3C"/>
  </x:sheetPr>
  <x:sheetViews>
    <x:sheetView showGridLines="0" workbookViewId="0">
      <x:pane xSplit="2" ySplit="4" topLeftCell="C5" activePane="bottomRight" state="frozen"/>
    </x:sheetView>
  </x:sheetViews>
  <x:sheetFormatPr defaultColWidth="9" defaultRowHeight="14"/>
  <x:cols>
    <x:col min="1" max="1" width="19" customWidth="1"/>
    <x:col min="2" max="2" width="31" customWidth="1"/>
    <x:col min="3" max="3" width="38" customWidth="1"/>
    <x:col min="4" max="5" width="80" customWidth="1"/>
  </x:cols>
  <x:sheetData>
    <x:row r="2" ht="48" customHeight="1">
      <x:c r="A2" s="1" t="s">
        <x:v>710</x:v>
      </x:c>
    </x:row>
    <x:row r="3" ht="48" customHeight="1"/>
    <x:row r="4" ht="34" customHeight="1">
      <x:c r="A4" s="2" t="s">
        <x:v>711</x:v>
      </x:c>
      <x:c r="B4" s="2" t="s">
        <x:v>712</x:v>
      </x:c>
      <x:c r="C4" s="2" t="s">
        <x:v>713</x:v>
      </x:c>
      <x:c r="D4" s="2" t="s">
        <x:v>714</x:v>
      </x:c>
      <x:c r="E4" s="2" t="s">
        <x:v>715</x:v>
      </x:c>
    </x:row>
    <x:row r="5" ht="48" customHeight="1">
      <x:c r="A5" s="3" t="s">
        <x:v>291</x:v>
      </x:c>
      <x:c r="B5" s="3" t="s">
        <x:v>716</x:v>
      </x:c>
      <x:c r="C5" s="3" t="s">
        <x:v>717</x:v>
      </x:c>
      <x:c r="D5" s="3" t="s">
        <x:v>718</x:v>
      </x:c>
      <x:c r="E5" s="3" t="s">
        <x:v>719</x:v>
      </x:c>
    </x:row>
    <x:row r="6" ht="48" customHeight="1">
      <x:c r="A6" s="6" t="s">
        <x:v>400</x:v>
      </x:c>
      <x:c r="B6" s="6" t="s">
        <x:v>720</x:v>
      </x:c>
      <x:c r="C6" s="6" t="s">
        <x:v>721</x:v>
      </x:c>
      <x:c r="D6" s="6" t="s">
        <x:v>722</x:v>
      </x:c>
      <x:c r="E6" s="6" t="s">
        <x:v>723</x:v>
      </x:c>
    </x:row>
    <x:row r="7" ht="48" customHeight="1">
      <x:c r="A7" s="3" t="s">
        <x:v>460</x:v>
      </x:c>
      <x:c r="B7" s="3" t="s">
        <x:v>724</x:v>
      </x:c>
      <x:c r="C7" s="3" t="s">
        <x:v>725</x:v>
      </x:c>
      <x:c r="D7" s="3" t="s">
        <x:v>726</x:v>
      </x:c>
      <x:c r="E7" s="3" t="s">
        <x:v>727</x:v>
      </x:c>
    </x:row>
    <x:row r="8" ht="48" customHeight="1">
      <x:c r="A8" s="6" t="s">
        <x:v>728</x:v>
      </x:c>
      <x:c r="B8" s="6" t="s">
        <x:v>729</x:v>
      </x:c>
      <x:c r="C8" s="6" t="s">
        <x:v>730</x:v>
      </x:c>
      <x:c r="D8" s="6" t="s">
        <x:v>731</x:v>
      </x:c>
      <x:c r="E8" s="6" t="s">
        <x:v>732</x:v>
      </x:c>
    </x:row>
    <x:row r="9" ht="48" customHeight="1">
      <x:c r="A9" s="3" t="s">
        <x:v>733</x:v>
      </x:c>
      <x:c r="B9" s="3" t="s">
        <x:v>734</x:v>
      </x:c>
      <x:c r="C9" s="3" t="s">
        <x:v>735</x:v>
      </x:c>
      <x:c r="D9" s="3" t="s">
        <x:v>736</x:v>
      </x:c>
      <x:c r="E9" s="3" t="s">
        <x:v>737</x:v>
      </x:c>
    </x:row>
    <x:row r="10" ht="48" customHeight="1">
      <x:c r="A10" s="6" t="s">
        <x:v>738</x:v>
      </x:c>
      <x:c r="B10" s="6" t="s">
        <x:v>739</x:v>
      </x:c>
      <x:c r="C10" s="6" t="s">
        <x:v>740</x:v>
      </x:c>
      <x:c r="D10" s="6" t="s">
        <x:v>741</x:v>
      </x:c>
      <x:c r="E10" s="6" t="s">
        <x:v>742</x:v>
      </x:c>
    </x:row>
    <x:row r="11" ht="48" customHeight="1">
      <x:c r="A11" s="3" t="s">
        <x:v>743</x:v>
      </x:c>
      <x:c r="B11" s="3" t="s">
        <x:v>744</x:v>
      </x:c>
      <x:c r="C11" s="3" t="s">
        <x:v>745</x:v>
      </x:c>
      <x:c r="D11" s="3" t="s">
        <x:v>746</x:v>
      </x:c>
      <x:c r="E11" s="3" t="s">
        <x:v>747</x:v>
      </x:c>
    </x:row>
    <x:row r="12" ht="48" customHeight="1">
      <x:c r="A12" s="6" t="s">
        <x:v>748</x:v>
      </x:c>
      <x:c r="B12" s="6" t="s">
        <x:v>749</x:v>
      </x:c>
      <x:c r="C12" s="6" t="s">
        <x:v>750</x:v>
      </x:c>
      <x:c r="D12" s="6" t="s">
        <x:v>751</x:v>
      </x:c>
      <x:c r="E12" s="6" t="s">
        <x:v>752</x:v>
      </x:c>
    </x:row>
    <x:row r="13" ht="48" customHeight="1">
      <x:c r="A13" s="3" t="s">
        <x:v>753</x:v>
      </x:c>
      <x:c r="B13" s="3" t="s">
        <x:v>754</x:v>
      </x:c>
      <x:c r="C13" s="3" t="s">
        <x:v>755</x:v>
      </x:c>
      <x:c r="D13" s="3" t="s">
        <x:v>756</x:v>
      </x:c>
      <x:c r="E13" s="3" t="s">
        <x:v>757</x:v>
      </x:c>
    </x:row>
  </x:sheetData>
  <x:pageMargins left="0.7" right="0.7" top="0.75" bottom="0.75" header="0.3" footer="0.3"/>
  <x:tableParts count="1">
    <x:tablePart xmlns:r="http://schemas.openxmlformats.org/officeDocument/2006/relationships" r:id="Rd14d729b069449e5"/>
  </x:tableParts>
</x:worksheet>
</file>

<file path=xl/worksheets/sheet6.xml><?xml version="1.0" encoding="utf-8"?>
<x:worksheet xmlns:x="http://schemas.openxmlformats.org/spreadsheetml/2006/main">
  <x:sheetPr>
    <x:tabColor rgb="FF622D3C"/>
  </x:sheetPr>
  <x:sheetViews>
    <x:sheetView showGridLines="0" workbookViewId="0">
      <x:pane xSplit="2" ySplit="4" topLeftCell="C5" activePane="bottomRight" state="frozen"/>
    </x:sheetView>
  </x:sheetViews>
  <x:sheetFormatPr defaultColWidth="9" defaultRowHeight="14"/>
  <x:cols>
    <x:col min="1" max="1" width="12" customWidth="1"/>
    <x:col min="2" max="2" width="29" customWidth="1"/>
    <x:col min="3" max="3" width="26" customWidth="1"/>
    <x:col min="4" max="4" width="87" customWidth="1"/>
    <x:col min="5" max="5" width="86" customWidth="1"/>
    <x:col min="6" max="6" width="29" customWidth="1"/>
  </x:cols>
  <x:sheetData>
    <x:row r="2" ht="48" customHeight="1">
      <x:c r="A2" s="1" t="s">
        <x:v>758</x:v>
      </x:c>
    </x:row>
    <x:row r="3" ht="9" customHeight="1"/>
    <x:row r="4" ht="34" customHeight="1">
      <x:c r="A4" s="2" t="s">
        <x:v>759</x:v>
      </x:c>
      <x:c r="B4" s="2" t="s">
        <x:v>760</x:v>
      </x:c>
      <x:c r="C4" s="2" t="s">
        <x:v>761</x:v>
      </x:c>
      <x:c r="D4" s="2" t="s">
        <x:v>762</x:v>
      </x:c>
      <x:c r="E4" s="2" t="s">
        <x:v>763</x:v>
      </x:c>
      <x:c r="F4" s="2" t="s">
        <x:v>764</x:v>
      </x:c>
    </x:row>
    <x:row r="5" ht="48" customHeight="1">
      <x:c r="A5" s="3" t="s">
        <x:v>765</x:v>
      </x:c>
      <x:c r="B5" s="3" t="s">
        <x:v>766</x:v>
      </x:c>
      <x:c r="C5" s="3" t="s">
        <x:v>767</x:v>
      </x:c>
      <x:c r="D5" s="3" t="s">
        <x:v>768</x:v>
      </x:c>
      <x:c r="E5" s="3" t="s">
        <x:v>769</x:v>
      </x:c>
      <x:c r="F5" s="3" t="s">
        <x:v>770</x:v>
      </x:c>
    </x:row>
    <x:row r="6" ht="48" customHeight="1">
      <x:c r="A6" s="6" t="s">
        <x:v>771</x:v>
      </x:c>
      <x:c r="B6" s="6" t="s">
        <x:v>772</x:v>
      </x:c>
      <x:c r="C6" s="6" t="s">
        <x:v>767</x:v>
      </x:c>
      <x:c r="D6" s="6" t="s">
        <x:v>773</x:v>
      </x:c>
      <x:c r="E6" s="6" t="s">
        <x:v>774</x:v>
      </x:c>
      <x:c r="F6" s="6" t="s">
        <x:v>775</x:v>
      </x:c>
    </x:row>
    <x:row r="7" ht="48" customHeight="1">
      <x:c r="A7" s="3" t="s">
        <x:v>776</x:v>
      </x:c>
      <x:c r="B7" s="3" t="s">
        <x:v>777</x:v>
      </x:c>
      <x:c r="C7" s="3" t="s">
        <x:v>778</x:v>
      </x:c>
      <x:c r="D7" s="3" t="s">
        <x:v>779</x:v>
      </x:c>
      <x:c r="E7" s="3" t="s">
        <x:v>780</x:v>
      </x:c>
      <x:c r="F7" s="3" t="s">
        <x:v>781</x:v>
      </x:c>
    </x:row>
    <x:row r="8" ht="48" customHeight="1">
      <x:c r="A8" s="6" t="s">
        <x:v>782</x:v>
      </x:c>
      <x:c r="B8" s="6" t="s">
        <x:v>783</x:v>
      </x:c>
      <x:c r="C8" s="6" t="s">
        <x:v>778</x:v>
      </x:c>
      <x:c r="D8" s="6" t="s">
        <x:v>784</x:v>
      </x:c>
      <x:c r="E8" s="6" t="s">
        <x:v>785</x:v>
      </x:c>
      <x:c r="F8" s="6" t="s">
        <x:v>786</x:v>
      </x:c>
    </x:row>
    <x:row r="9" ht="48" customHeight="1">
      <x:c r="A9" s="3" t="s">
        <x:v>787</x:v>
      </x:c>
      <x:c r="B9" s="3" t="s">
        <x:v>788</x:v>
      </x:c>
      <x:c r="C9" s="3" t="s">
        <x:v>767</x:v>
      </x:c>
      <x:c r="D9" s="3" t="s">
        <x:v>789</x:v>
      </x:c>
      <x:c r="E9" s="3" t="s">
        <x:v>790</x:v>
      </x:c>
      <x:c r="F9" s="3" t="s">
        <x:v>494</x:v>
      </x:c>
    </x:row>
    <x:row r="10" ht="48" customHeight="1">
      <x:c r="A10" s="6" t="s">
        <x:v>791</x:v>
      </x:c>
      <x:c r="B10" s="6" t="s">
        <x:v>792</x:v>
      </x:c>
      <x:c r="C10" s="6" t="s">
        <x:v>778</x:v>
      </x:c>
      <x:c r="D10" s="6" t="s">
        <x:v>793</x:v>
      </x:c>
      <x:c r="E10" s="6" t="s">
        <x:v>794</x:v>
      </x:c>
      <x:c r="F10" s="6" t="s">
        <x:v>795</x:v>
      </x:c>
    </x:row>
    <x:row r="11" ht="48" customHeight="1">
      <x:c r="A11" s="3" t="s">
        <x:v>796</x:v>
      </x:c>
      <x:c r="B11" s="3" t="s">
        <x:v>797</x:v>
      </x:c>
      <x:c r="C11" s="3" t="s">
        <x:v>778</x:v>
      </x:c>
      <x:c r="D11" s="3" t="s">
        <x:v>798</x:v>
      </x:c>
      <x:c r="E11" s="3" t="s">
        <x:v>799</x:v>
      </x:c>
      <x:c r="F11" s="3" t="s">
        <x:v>800</x:v>
      </x:c>
    </x:row>
    <x:row r="12" ht="48" customHeight="1">
      <x:c r="A12" s="6" t="s">
        <x:v>801</x:v>
      </x:c>
      <x:c r="B12" s="6" t="s">
        <x:v>802</x:v>
      </x:c>
      <x:c r="C12" s="6" t="s">
        <x:v>767</x:v>
      </x:c>
      <x:c r="D12" s="6" t="s">
        <x:v>803</x:v>
      </x:c>
      <x:c r="E12" s="6" t="s">
        <x:v>804</x:v>
      </x:c>
      <x:c r="F12" s="6" t="s">
        <x:v>770</x:v>
      </x:c>
    </x:row>
    <x:row r="13" ht="48" customHeight="1">
      <x:c r="A13" s="3" t="s">
        <x:v>805</x:v>
      </x:c>
      <x:c r="B13" s="3" t="s">
        <x:v>806</x:v>
      </x:c>
      <x:c r="C13" s="3" t="s">
        <x:v>778</x:v>
      </x:c>
      <x:c r="D13" s="3" t="s">
        <x:v>807</x:v>
      </x:c>
      <x:c r="E13" s="3" t="s">
        <x:v>808</x:v>
      </x:c>
      <x:c r="F13" s="3" t="s">
        <x:v>484</x:v>
      </x:c>
    </x:row>
    <x:row r="14" ht="48" customHeight="1">
      <x:c r="A14" s="6" t="s">
        <x:v>809</x:v>
      </x:c>
      <x:c r="B14" s="6" t="s">
        <x:v>810</x:v>
      </x:c>
      <x:c r="C14" s="6" t="s">
        <x:v>767</x:v>
      </x:c>
      <x:c r="D14" s="6" t="s">
        <x:v>811</x:v>
      </x:c>
      <x:c r="E14" s="6" t="s">
        <x:v>812</x:v>
      </x:c>
      <x:c r="F14" s="6" t="s">
        <x:v>770</x:v>
      </x:c>
    </x:row>
    <x:row r="15" ht="48" customHeight="1">
      <x:c r="A15" s="3" t="s">
        <x:v>813</x:v>
      </x:c>
      <x:c r="B15" s="3" t="s">
        <x:v>814</x:v>
      </x:c>
      <x:c r="C15" s="3" t="s">
        <x:v>815</x:v>
      </x:c>
      <x:c r="D15" s="3" t="s">
        <x:v>816</x:v>
      </x:c>
      <x:c r="E15" s="3" t="s">
        <x:v>817</x:v>
      </x:c>
      <x:c r="F15" s="3" t="s">
        <x:v>818</x:v>
      </x:c>
    </x:row>
    <x:row r="16" ht="48" customHeight="1">
      <x:c r="A16" s="6" t="s">
        <x:v>819</x:v>
      </x:c>
      <x:c r="B16" s="6" t="s">
        <x:v>820</x:v>
      </x:c>
      <x:c r="C16" s="6" t="s">
        <x:v>821</x:v>
      </x:c>
      <x:c r="D16" s="6" t="s">
        <x:v>822</x:v>
      </x:c>
      <x:c r="E16" s="6" t="s">
        <x:v>823</x:v>
      </x:c>
      <x:c r="F16" s="6" t="s">
        <x:v>824</x:v>
      </x:c>
    </x:row>
    <x:row r="17" ht="48" customHeight="1">
      <x:c r="A17" s="3" t="s">
        <x:v>825</x:v>
      </x:c>
      <x:c r="B17" s="3" t="s">
        <x:v>826</x:v>
      </x:c>
      <x:c r="C17" s="3" t="s">
        <x:v>821</x:v>
      </x:c>
      <x:c r="D17" s="3" t="s">
        <x:v>827</x:v>
      </x:c>
      <x:c r="E17" s="3" t="s">
        <x:v>828</x:v>
      </x:c>
      <x:c r="F17" s="3" t="s">
        <x:v>721</x:v>
      </x:c>
    </x:row>
    <x:row r="18" ht="48" customHeight="1">
      <x:c r="A18" s="6" t="s">
        <x:v>829</x:v>
      </x:c>
      <x:c r="B18" s="6" t="s">
        <x:v>830</x:v>
      </x:c>
      <x:c r="C18" s="6" t="s">
        <x:v>821</x:v>
      </x:c>
      <x:c r="D18" s="6" t="s">
        <x:v>831</x:v>
      </x:c>
      <x:c r="E18" s="6" t="s">
        <x:v>832</x:v>
      </x:c>
      <x:c r="F18" s="6" t="s">
        <x:v>833</x:v>
      </x:c>
    </x:row>
    <x:row r="19" ht="48" customHeight="1">
      <x:c r="A19" s="3" t="s">
        <x:v>834</x:v>
      </x:c>
      <x:c r="B19" s="3" t="s">
        <x:v>835</x:v>
      </x:c>
      <x:c r="C19" s="3" t="s">
        <x:v>836</x:v>
      </x:c>
      <x:c r="D19" s="3" t="s">
        <x:v>837</x:v>
      </x:c>
      <x:c r="E19" s="3" t="s">
        <x:v>838</x:v>
      </x:c>
      <x:c r="F19" s="3" t="s">
        <x:v>362</x:v>
      </x:c>
    </x:row>
    <x:row r="20" ht="48" customHeight="1">
      <x:c r="A20" s="6" t="s">
        <x:v>839</x:v>
      </x:c>
      <x:c r="B20" s="6" t="s">
        <x:v>840</x:v>
      </x:c>
      <x:c r="C20" s="6" t="s">
        <x:v>841</x:v>
      </x:c>
      <x:c r="D20" s="6" t="s">
        <x:v>842</x:v>
      </x:c>
      <x:c r="E20" s="6" t="s">
        <x:v>843</x:v>
      </x:c>
      <x:c r="F20" s="6" t="s">
        <x:v>844</x:v>
      </x:c>
    </x:row>
    <x:row r="21" ht="48" customHeight="1">
      <x:c r="A21" s="3" t="s">
        <x:v>845</x:v>
      </x:c>
      <x:c r="B21" s="3" t="s">
        <x:v>846</x:v>
      </x:c>
      <x:c r="C21" s="3" t="s">
        <x:v>847</x:v>
      </x:c>
      <x:c r="D21" s="3" t="s">
        <x:v>848</x:v>
      </x:c>
      <x:c r="E21" s="3" t="s">
        <x:v>849</x:v>
      </x:c>
      <x:c r="F21" s="3" t="s">
        <x:v>850</x:v>
      </x:c>
    </x:row>
  </x:sheetData>
  <x:pageMargins left="0.7" right="0.7" top="0.75" bottom="0.75" header="0.3" footer="0.3"/>
  <x:tableParts count="1">
    <x:tablePart xmlns:r="http://schemas.openxmlformats.org/officeDocument/2006/relationships" r:id="Radd15d007ac44b95"/>
  </x:tableParts>
</x:worksheet>
</file>

<file path=xl/worksheets/sheet7.xml><?xml version="1.0" encoding="utf-8"?>
<x:worksheet xmlns:x="http://schemas.openxmlformats.org/spreadsheetml/2006/main">
  <x:sheetPr>
    <x:tabColor rgb="FF622D3C"/>
  </x:sheetPr>
  <x:sheetViews>
    <x:sheetView showGridLines="0" workbookViewId="0">
      <x:pane xSplit="2" ySplit="4" topLeftCell="C5" activePane="bottomRight" state="frozen"/>
    </x:sheetView>
  </x:sheetViews>
  <x:sheetFormatPr defaultColWidth="9" defaultRowHeight="14"/>
  <x:cols>
    <x:col min="1" max="1" width="30" customWidth="1"/>
    <x:col min="2" max="4" width="15" customWidth="1"/>
    <x:col min="5" max="5" width="18" customWidth="1"/>
    <x:col min="6" max="6" width="54" customWidth="1"/>
    <x:col min="7" max="7" width="71" customWidth="1"/>
  </x:cols>
  <x:sheetData>
    <x:row r="2" ht="48" customHeight="1">
      <x:c r="A2" s="1" t="s">
        <x:v>851</x:v>
      </x:c>
    </x:row>
    <x:row r="3" ht="48" customHeight="1">
      <x:c r="A3" t="s">
        <x:v>852</x:v>
      </x:c>
    </x:row>
    <x:row r="4" ht="34" customHeight="1">
      <x:c r="A4" s="2" t="s">
        <x:v>853</x:v>
      </x:c>
      <x:c r="B4" s="2" t="s">
        <x:v>854</x:v>
      </x:c>
      <x:c r="C4" s="2" t="s">
        <x:v>855</x:v>
      </x:c>
      <x:c r="D4" s="2" t="s">
        <x:v>856</x:v>
      </x:c>
      <x:c r="E4" s="2" t="s">
        <x:v>857</x:v>
      </x:c>
      <x:c r="F4" s="2" t="s">
        <x:v>858</x:v>
      </x:c>
      <x:c r="G4" s="2" t="s">
        <x:v>859</x:v>
      </x:c>
    </x:row>
    <x:row r="5" ht="48" customHeight="1">
      <x:c r="A5" s="3" t="s">
        <x:v>860</x:v>
      </x:c>
      <x:c r="B5" s="4">
        <x:v>10</x:v>
      </x:c>
      <x:c r="C5" s="4">
        <x:v>0.1</x:v>
      </x:c>
      <x:c r="D5" s="4">
        <x:v>0.2</x:v>
      </x:c>
      <x:c r="E5" s="5" t="n">
        <x:f>ROUNDDOWN(B5*C5*(1+D5),0)</x:f>
        <x:v>1</x:v>
      </x:c>
      <x:c r="F5" s="3" t="s">
        <x:v>861</x:v>
      </x:c>
      <x:c r="G5" s="3" t="s">
        <x:v>862</x:v>
      </x:c>
    </x:row>
    <x:row r="6" ht="48" customHeight="1">
      <x:c r="A6" s="6" t="s">
        <x:v>863</x:v>
      </x:c>
      <x:c r="B6" s="4">
        <x:v>10</x:v>
      </x:c>
      <x:c r="C6" s="4">
        <x:v>1.2</x:v>
      </x:c>
      <x:c r="D6" s="4">
        <x:v>3</x:v>
      </x:c>
      <x:c r="E6" s="7" t="n">
        <x:f>B6*C6^D6</x:f>
        <x:v>17.279999999999998</x:v>
      </x:c>
      <x:c r="F6" s="6" t="s">
        <x:v>864</x:v>
      </x:c>
      <x:c r="G6" s="6" t="s">
        <x:v>865</x:v>
      </x:c>
    </x:row>
    <x:row r="7" ht="48" customHeight="1">
      <x:c r="A7" s="3" t="s">
        <x:v>866</x:v>
      </x:c>
      <x:c r="B7" s="4">
        <x:v>10</x:v>
      </x:c>
      <x:c r="C7" s="4">
        <x:v>5</x:v>
      </x:c>
      <x:c r="D7" s="4">
        <x:v>12</x:v>
      </x:c>
      <x:c r="E7" s="5" t="n">
        <x:f>MIN(B7+C7,D7)</x:f>
        <x:v>12</x:v>
      </x:c>
      <x:c r="F7" s="3" t="s">
        <x:v>867</x:v>
      </x:c>
      <x:c r="G7" s="3" t="s">
        <x:v>868</x:v>
      </x:c>
    </x:row>
    <x:row r="8" ht="48" customHeight="1">
      <x:c r="A8" s="6" t="s">
        <x:v>869</x:v>
      </x:c>
      <x:c r="B8" s="4">
        <x:v>11</x:v>
      </x:c>
      <x:c r="C8" s="4">
        <x:v>0.5</x:v>
      </x:c>
      <x:c r="D8" s="4">
        <x:v>2</x:v>
      </x:c>
      <x:c r="E8" s="7" t="n">
        <x:f>B8*C8*D8</x:f>
        <x:v>11</x:v>
      </x:c>
      <x:c r="F8" s="6" t="s">
        <x:v>870</x:v>
      </x:c>
      <x:c r="G8" s="6" t="s">
        <x:v>871</x:v>
      </x:c>
    </x:row>
    <x:row r="9" ht="48" customHeight="1">
      <x:c r="A9" s="3" t="str">
        <x:v>Recommended：肾上腺素与四叶草</x:v>
      </x:c>
      <x:c r="B9" s="4" t="n">
        <x:v>0.65</x:v>
      </x:c>
      <x:c r="C9" s="4" t="n">
        <x:v>0.23</x:v>
      </x:c>
      <x:c r="D9" s="4" t="n">
        <x:v>1</x:v>
      </x:c>
      <x:c r="E9" s="8" t="n">
        <x:f>MIN(B9+C9,D9)</x:f>
        <x:v>0.88</x:v>
      </x:c>
      <x:c r="F9" s="3" t="str">
        <x:v>SET值、ADD值、概率封顶</x:v>
      </x:c>
      <x:c r="G9" s="3" t="str">
        <x:v>65%+23%=88%，不再确定点火</x:v>
      </x:c>
    </x:row>
    <x:row r="10" ht="48" customHeight="1">
      <x:c r="A10" s="6" t="str">
        <x:v>旧版组合（对照）</x:v>
      </x:c>
      <x:c r="B10" s="4" t="n">
        <x:v>0.75</x:v>
      </x:c>
      <x:c r="C10" s="4" t="n">
        <x:v>0.25</x:v>
      </x:c>
      <x:c r="D10" s="4" t="n">
        <x:v>1</x:v>
      </x:c>
      <x:c r="E10" s="9" t="n">
        <x:f>MIN(B10+C10,D10)</x:f>
        <x:v>1</x:v>
      </x:c>
      <x:c r="F10" s="6" t="str">
        <x:v>旧SET值、旧ADD值、概率封顶</x:v>
      </x:c>
      <x:c r="G10" s="6" t="str">
        <x:v>旧版合计100%，作为改动前对照</x:v>
      </x:c>
    </x:row>
    <x:row r="11" ht="48" customHeight="1">
      <x:c r="A11" s="3" t="str">
        <x:v>RUSH触发的族数效应</x:v>
      </x:c>
      <x:c r="B11" s="4" t="n">
        <x:v>0.23</x:v>
      </x:c>
      <x:c r="C11" s="4" t="n">
        <x:v>5</x:v>
      </x:c>
      <x:c r="D11" s="4" t="n">
        <x:v>0</x:v>
      </x:c>
      <x:c r="E11" s="8" t="n">
        <x:f>1-(1-B11)^C11</x:f>
        <x:v>0.7293215843</x:v>
      </x:c>
      <x:c r="F11" s="3" t="str">
        <x:v>单次概率、独立球家族数、预留</x:v>
      </x:c>
      <x:c r="G11" s="3" t="str">
        <x:v>至少触发一次的概率；仅首次启动前独立检定</x:v>
      </x:c>
    </x:row>
    <x:row r="12" ht="48" customHeight="1">
      <x:c r="A12" s="6" t="s">
        <x:v>872</x:v>
      </x:c>
      <x:c r="B12" s="4">
        <x:v>64</x:v>
      </x:c>
      <x:c r="C12" s="4">
        <x:v>1</x:v>
      </x:c>
      <x:c r="D12" s="4">
        <x:v>1.1499999999999999</x:v>
      </x:c>
      <x:c r="E12" s="7" t="n">
        <x:f>ROUNDDOWN(SQRT(B12)*C12*D12,0)</x:f>
        <x:v>9</x:v>
      </x:c>
      <x:c r="F12" s="6" t="s">
        <x:v>873</x:v>
      </x:c>
      <x:c r="G12" s="6" t="s">
        <x:v>874</x:v>
      </x:c>
    </x:row>
    <x:row r="13" ht="48" customHeight="1">
      <x:c r="A13" s="3" t="s">
        <x:v>875</x:v>
      </x:c>
      <x:c r="B13" s="4">
        <x:v>0.95</x:v>
      </x:c>
      <x:c r="C13" s="4">
        <x:v>0.9</x:v>
      </x:c>
      <x:c r="D13" s="4">
        <x:v>1</x:v>
      </x:c>
      <x:c r="E13" s="5" t="n">
        <x:f>B13/C13</x:f>
        <x:v>1.0555555555555556</x:v>
      </x:c>
      <x:c r="F13" s="3" t="s">
        <x:v>876</x:v>
      </x:c>
      <x:c r="G13" s="3" t="s">
        <x:v>877</x:v>
      </x:c>
    </x:row>
    <x:row r="14" ht="48" customHeight="1">
      <x:c r="A14" s="6" t="s">
        <x:v>878</x:v>
      </x:c>
      <x:c r="B14" s="10" t="n">
        <x:f>'00_ATTRIBUTE_DICTIONARY (2)'!F33</x:f>
        <x:v>0.3</x:v>
      </x:c>
      <x:c r="C14" s="10" t="n">
        <x:f>'00_ATTRIBUTE_DICTIONARY (2)'!F34</x:f>
        <x:v>0.25</x:v>
      </x:c>
      <x:c r="D14" s="10" t="n">
        <x:v>0.15</x:v>
      </x:c>
      <x:c r="E14" s="7" t="n">
        <x:f>B14+C14*2+D14*4</x:f>
        <x:v>1.4</x:v>
      </x:c>
      <x:c r="F14" s="6" t="s">
        <x:v>879</x:v>
      </x:c>
      <x:c r="G14" s="6" t="s">
        <x:v>880</x:v>
      </x:c>
    </x:row>
    <x:row r="15" ht="48" customHeight="1">
      <x:c r="A15" s="3" t="str">
        <x:v>相对目标EV 1.40差额</x:v>
      </x:c>
      <x:c r="B15" s="11"/>
      <x:c r="C15" s="11"/>
      <x:c r="D15" s="11"/>
      <x:c r="E15" s="5" t="n">
        <x:f>E14-1.4</x:f>
        <x:v>0</x:v>
      </x:c>
      <x:c r="F15" s="3" t="str">
        <x:v>推导期望减正式目标1.40</x:v>
      </x:c>
      <x:c r="G15" s="3" t="str">
        <x:v>0表示四档概率与正式风险预算一致</x:v>
      </x:c>
    </x:row>
    <x:row r="16" ht="48" customHeight="1">
      <x:c r="A16" s="6" t="s">
        <x:v>881</x:v>
      </x:c>
      <x:c r="B16" s="10" t="n">
        <x:f>'00_ATTRIBUTE_DICTIONARY (2)'!F32</x:f>
        <x:v>0.3</x:v>
      </x:c>
      <x:c r="C16" s="4">
        <x:v>0.2</x:v>
      </x:c>
      <x:c r="D16" s="4"/>
      <x:c r="E16" s="7" t="n">
        <x:f>E14+B16*C16</x:f>
        <x:v>1.46</x:v>
      </x:c>
      <x:c r="F16" s="6" t="s">
        <x:v>882</x:v>
      </x:c>
      <x:c r="G16" s="6" t="s">
        <x:v>883</x:v>
      </x:c>
    </x:row>
    <x:row r="17" ht="48" customHeight="1">
      <x:c r="A17" s="3" t="s">
        <x:v>884</x:v>
      </x:c>
      <x:c r="B17" s="11"/>
      <x:c r="C17" s="11"/>
      <x:c r="D17" s="11"/>
      <x:c r="E17" s="5" t="n">
        <x:f>B16+B14+C14+D14</x:f>
        <x:v>1</x:v>
      </x:c>
      <x:c r="F17" s="3" t="s">
        <x:v>885</x:v>
      </x:c>
      <x:c r="G17" s="3" t="s">
        <x:v>886</x:v>
      </x:c>
    </x:row>
  </x:sheetData>
  <x:conditionalFormatting sqref="E15:E15">
    <x:cfRule type="cellIs" dxfId="1" priority="1" operator="not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879625eb53d424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10" hidden="0" customWidth="1"/>
    <x:col min="3" max="3" width="16" hidden="0" customWidth="1"/>
    <x:col min="4" max="4" width="20" hidden="0" customWidth="1"/>
    <x:col min="5" max="5" width="8" hidden="0" customWidth="1"/>
    <x:col min="6" max="6" width="38" hidden="0" customWidth="1"/>
    <x:col min="7" max="7" width="9" hidden="0" customWidth="1"/>
    <x:col min="8" max="8" width="9" hidden="0" customWidth="1"/>
    <x:col min="9" max="9" width="16" hidden="0" customWidth="1"/>
    <x:col min="10" max="10" width="24" hidden="0" customWidth="1"/>
    <x:col min="11" max="11" width="24" hidden="0" customWidth="1"/>
    <x:col min="12" max="12" width="18" hidden="0" customWidth="1"/>
    <x:col min="13" max="13" width="42" hidden="0" customWidth="1"/>
  </x:cols>
  <x:sheetData>
    <x:row r="1" ht="28" customHeight="1">
      <x:c r="A1" s="60" t="str">
        <x:v>《血色柏青哥》运行时道具 / 药物平衡表（Recommended）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</x:row>
    <x:row r="2" ht="34" customHeight="1">
      <x:c r="A2" s="63" t="str">
        <x:v>Source of Truth：Assets/Resources/GameContent.json。路线/物理型条目标记为“待采样”时，不根据启发式低EV擅自增强。</x:v>
      </x:c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</x:row>
    <x:row r="4" ht="30" customHeight="1">
      <x:c r="A4" s="67" t="str">
        <x:v>类别</x:v>
      </x:c>
      <x:c r="B4" s="67" t="str">
        <x:v>Runtime ID</x:v>
      </x:c>
      <x:c r="C4" s="67" t="str">
        <x:v>Source ID</x:v>
      </x:c>
      <x:c r="D4" s="67" t="str">
        <x:v>名称</x:v>
      </x:c>
      <x:c r="E4" s="67" t="str">
        <x:v>价格</x:v>
      </x:c>
      <x:c r="F4" s="67" t="str">
        <x:v>当前核心效果</x:v>
      </x:c>
      <x:c r="G4" s="67" t="str">
        <x:v>持续秒</x:v>
      </x:c>
      <x:c r="H4" s="67" t="str">
        <x:v>可叠加</x:v>
      </x:c>
      <x:c r="I4" s="67" t="str">
        <x:v>证据等级</x:v>
      </x:c>
      <x:c r="J4" s="67" t="str">
        <x:v>旧值</x:v>
      </x:c>
      <x:c r="K4" s="67" t="str">
        <x:v>新值</x:v>
      </x:c>
      <x:c r="L4" s="67" t="str">
        <x:v>变化</x:v>
      </x:c>
      <x:c r="M4" s="67" t="str">
        <x:v>调整原因</x:v>
      </x:c>
    </x:row>
    <x:row r="5" ht="72" hidden="0" customHeight="1">
      <x:c r="A5" s="70" t="str">
        <x:v>装置</x:v>
      </x:c>
      <x:c r="B5" s="71" t="n">
        <x:v>100</x:v>
      </x:c>
      <x:c r="C5" s="70" t="str">
        <x:v>D001</x:v>
      </x:c>
      <x:c r="D5" s="70" t="str">
        <x:v>银行</x:v>
      </x:c>
      <x:c r="E5" s="71" t="n">
        <x:v>24</x:v>
      </x:c>
      <x:c r="F5" s="70" t="str">
        <x:v>银行换金系数×0.12</x:v>
      </x:c>
      <x:c r="G5" s="70" t="str">
        <x:v>—</x:v>
      </x:c>
      <x:c r="H5" s="70" t="str">
        <x:v>—</x:v>
      </x:c>
      <x:c r="I5" s="70" t="str">
        <x:v>Hybrid已建模</x:v>
      </x:c>
      <x:c r="J5" s="70" t="str">
        <x:v>—</x:v>
      </x:c>
      <x:c r="K5" s="70" t="str">
        <x:v>—</x:v>
      </x:c>
      <x:c r="L5" s="70" t="str">
        <x:v>0%</x:v>
      </x:c>
      <x:c r="M5" s="70" t="str">
        <x:v>本轮保持；等待对应物理变体样本后再调效果。</x:v>
      </x:c>
    </x:row>
    <x:row r="6" ht="72" hidden="0" customHeight="1">
      <x:c r="A6" s="70" t="str">
        <x:v>装置</x:v>
      </x:c>
      <x:c r="B6" s="71" t="n">
        <x:v>101</x:v>
      </x:c>
      <x:c r="C6" s="70" t="str">
        <x:v>D002</x:v>
      </x:c>
      <x:c r="D6" s="70" t="str">
        <x:v>增幅塔</x:v>
      </x:c>
      <x:c r="E6" s="71" t="n">
        <x:v>15</x:v>
      </x:c>
      <x:c r="F6" s="70" t="str">
        <x:v>价值×1.2（需两塔连线）</x:v>
      </x:c>
      <x:c r="G6" s="70" t="str">
        <x:v>—</x:v>
      </x:c>
      <x:c r="H6" s="70" t="str">
        <x:v>—</x:v>
      </x:c>
      <x:c r="I6" s="70" t="str">
        <x:v>Hybrid已建模</x:v>
      </x:c>
      <x:c r="J6" s="70" t="str">
        <x:v>—</x:v>
      </x:c>
      <x:c r="K6" s="70" t="str">
        <x:v>—</x:v>
      </x:c>
      <x:c r="L6" s="70" t="str">
        <x:v>0%</x:v>
      </x:c>
      <x:c r="M6" s="70" t="str">
        <x:v>本轮保持；等待对应物理变体样本后再调效果。</x:v>
      </x:c>
    </x:row>
    <x:row r="7" ht="72" hidden="0" customHeight="1">
      <x:c r="A7" s="70" t="str">
        <x:v>装置</x:v>
      </x:c>
      <x:c r="B7" s="71" t="n">
        <x:v>102</x:v>
      </x:c>
      <x:c r="C7" s="70" t="str">
        <x:v>D003</x:v>
      </x:c>
      <x:c r="D7" s="70" t="str">
        <x:v>离心机</x:v>
      </x:c>
      <x:c r="E7" s="71" t="n">
        <x:v>9</x:v>
      </x:c>
      <x:c r="F7" s="70" t="str">
        <x:v>出口速度+5</x:v>
      </x:c>
      <x:c r="G7" s="70" t="str">
        <x:v>—</x:v>
      </x:c>
      <x:c r="H7" s="70" t="str">
        <x:v>—</x:v>
      </x:c>
      <x:c r="I7" s="70" t="str">
        <x:v>物理变体待采样</x:v>
      </x:c>
      <x:c r="J7" s="70" t="str">
        <x:v>—</x:v>
      </x:c>
      <x:c r="K7" s="70" t="str">
        <x:v>—</x:v>
      </x:c>
      <x:c r="L7" s="70" t="str">
        <x:v>0%</x:v>
      </x:c>
      <x:c r="M7" s="70" t="str">
        <x:v>本轮保持；等待对应物理变体样本后再调效果。</x:v>
      </x:c>
    </x:row>
    <x:row r="8" ht="72" hidden="0" customHeight="1">
      <x:c r="A8" s="70" t="str">
        <x:v>装置</x:v>
      </x:c>
      <x:c r="B8" s="71" t="n">
        <x:v>103</x:v>
      </x:c>
      <x:c r="C8" s="70" t="str">
        <x:v>D004</x:v>
      </x:c>
      <x:c r="D8" s="70" t="str">
        <x:v>传送门</x:v>
      </x:c>
      <x:c r="E8" s="71" t="n">
        <x:v>15</x:v>
      </x:c>
      <x:c r="F8" s="70" t="str">
        <x:v>成对双向传送</x:v>
      </x:c>
      <x:c r="G8" s="70" t="str">
        <x:v>—</x:v>
      </x:c>
      <x:c r="H8" s="70" t="str">
        <x:v>—</x:v>
      </x:c>
      <x:c r="I8" s="70" t="str">
        <x:v>物理变体待采样</x:v>
      </x:c>
      <x:c r="J8" s="70" t="str">
        <x:v>—</x:v>
      </x:c>
      <x:c r="K8" s="70" t="str">
        <x:v>—</x:v>
      </x:c>
      <x:c r="L8" s="70" t="str">
        <x:v>0%</x:v>
      </x:c>
      <x:c r="M8" s="70" t="str">
        <x:v>本轮保持；等待对应物理变体样本后再调效果。</x:v>
      </x:c>
    </x:row>
    <x:row r="9" ht="72" hidden="0" customHeight="1">
      <x:c r="A9" s="70" t="str">
        <x:v>装置</x:v>
      </x:c>
      <x:c r="B9" s="71" t="n">
        <x:v>104</x:v>
      </x:c>
      <x:c r="C9" s="70" t="str">
        <x:v>D005</x:v>
      </x:c>
      <x:c r="D9" s="70" t="str">
        <x:v>黑色四叶草</x:v>
      </x:c>
      <x:c r="E9" s="71" t="n">
        <x:v>36</x:v>
      </x:c>
      <x:c r="F9" s="70" t="str">
        <x:v>RUSH概率SET 65%</x:v>
      </x:c>
      <x:c r="G9" s="70" t="str">
        <x:v>—</x:v>
      </x:c>
      <x:c r="H9" s="70" t="str">
        <x:v>—</x:v>
      </x:c>
      <x:c r="I9" s="70" t="str">
        <x:v>Hybrid已建模</x:v>
      </x:c>
      <x:c r="J9" s="70" t="str">
        <x:v>RUSH SET 75%</x:v>
      </x:c>
      <x:c r="K9" s="70" t="str">
        <x:v>RUSH SET 65%</x:v>
      </x:c>
      <x:c r="L9" s="70" t="str">
        <x:v>-13.3%</x:v>
      </x:c>
      <x:c r="M9" s="70" t="str">
        <x:v>保留高概率点火，但与肾上腺素组合不再100%。</x:v>
      </x:c>
    </x:row>
    <x:row r="10" ht="72" hidden="0" customHeight="1">
      <x:c r="A10" s="70" t="str">
        <x:v>装置</x:v>
      </x:c>
      <x:c r="B10" s="71" t="n">
        <x:v>105</x:v>
      </x:c>
      <x:c r="C10" s="70" t="str">
        <x:v>D006</x:v>
      </x:c>
      <x:c r="D10" s="70" t="str">
        <x:v>分流器</x:v>
      </x:c>
      <x:c r="E10" s="71" t="n">
        <x:v>15</x:v>
      </x:c>
      <x:c r="F10" s="70" t="str">
        <x:v>价值≥2时二分且总价值守恒</x:v>
      </x:c>
      <x:c r="G10" s="70" t="str">
        <x:v>—</x:v>
      </x:c>
      <x:c r="H10" s="70" t="str">
        <x:v>—</x:v>
      </x:c>
      <x:c r="I10" s="70" t="str">
        <x:v>物理变体待采样</x:v>
      </x:c>
      <x:c r="J10" s="70" t="str">
        <x:v>—</x:v>
      </x:c>
      <x:c r="K10" s="70" t="str">
        <x:v>—</x:v>
      </x:c>
      <x:c r="L10" s="70" t="str">
        <x:v>0%</x:v>
      </x:c>
      <x:c r="M10" s="70" t="str">
        <x:v>本轮保持；等待对应物理变体样本后再调效果。</x:v>
      </x:c>
    </x:row>
    <x:row r="11" ht="72" hidden="0" customHeight="1">
      <x:c r="A11" s="70" t="str">
        <x:v>装置</x:v>
      </x:c>
      <x:c r="B11" s="71" t="n">
        <x:v>106</x:v>
      </x:c>
      <x:c r="C11" s="70" t="str">
        <x:v>D007</x:v>
      </x:c>
      <x:c r="D11" s="70" t="str">
        <x:v>弹板</x:v>
      </x:c>
      <x:c r="E11" s="71" t="n">
        <x:v>9</x:v>
      </x:c>
      <x:c r="F11" s="70" t="str">
        <x:v>弹射强度5</x:v>
      </x:c>
      <x:c r="G11" s="70" t="str">
        <x:v>—</x:v>
      </x:c>
      <x:c r="H11" s="70" t="str">
        <x:v>—</x:v>
      </x:c>
      <x:c r="I11" s="70" t="str">
        <x:v>物理变体待采样</x:v>
      </x:c>
      <x:c r="J11" s="70" t="str">
        <x:v>—</x:v>
      </x:c>
      <x:c r="K11" s="70" t="str">
        <x:v>—</x:v>
      </x:c>
      <x:c r="L11" s="70" t="str">
        <x:v>0%</x:v>
      </x:c>
      <x:c r="M11" s="70" t="str">
        <x:v>本轮保持；等待对应物理变体样本后再调效果。</x:v>
      </x:c>
    </x:row>
    <x:row r="12" ht="60" hidden="0" customHeight="1">
      <x:c r="A12" s="70" t="str">
        <x:v>装置</x:v>
      </x:c>
      <x:c r="B12" s="71" t="n">
        <x:v>107</x:v>
      </x:c>
      <x:c r="C12" s="70" t="str">
        <x:v>D008</x:v>
      </x:c>
      <x:c r="D12" s="70" t="str">
        <x:v>增值透镜</x:v>
      </x:c>
      <x:c r="E12" s="71" t="n">
        <x:v>46</x:v>
      </x:c>
      <x:c r="F12" s="70" t="str">
        <x:v>价值×1.85</x:v>
      </x:c>
      <x:c r="G12" s="70" t="str">
        <x:v>—</x:v>
      </x:c>
      <x:c r="H12" s="70" t="str">
        <x:v>—</x:v>
      </x:c>
      <x:c r="I12" s="70" t="str">
        <x:v>Hybrid已建模</x:v>
      </x:c>
      <x:c r="J12" s="70" t="str">
        <x:v>价值×2.00</x:v>
      </x:c>
      <x:c r="K12" s="70" t="str">
        <x:v>价值×1.85</x:v>
      </x:c>
      <x:c r="L12" s="70" t="str">
        <x:v>-7.5%</x:v>
      </x:c>
      <x:c r="M12" s="70" t="str">
        <x:v>降低回流复利；仍保留Epic爆发定位。</x:v>
      </x:c>
    </x:row>
    <x:row r="13" ht="48" hidden="0" customHeight="1">
      <x:c r="A13" s="70" t="str">
        <x:v>装置</x:v>
      </x:c>
      <x:c r="B13" s="71" t="n">
        <x:v>108</x:v>
      </x:c>
      <x:c r="C13" s="70" t="str">
        <x:v>D009</x:v>
      </x:c>
      <x:c r="D13" s="70" t="str">
        <x:v>资本主义</x:v>
      </x:c>
      <x:c r="E13" s="71" t="n">
        <x:v>49</x:v>
      </x:c>
      <x:c r="F13" s="70" t="str">
        <x:v>价值&lt;6销毁，否则×2.7</x:v>
      </x:c>
      <x:c r="G13" s="70" t="str">
        <x:v>—</x:v>
      </x:c>
      <x:c r="H13" s="70" t="str">
        <x:v>—</x:v>
      </x:c>
      <x:c r="I13" s="70" t="str">
        <x:v>Hybrid已建模</x:v>
      </x:c>
      <x:c r="J13" s="70" t="str">
        <x:v>价值×3.00</x:v>
      </x:c>
      <x:c r="K13" s="70" t="str">
        <x:v>价值×2.70</x:v>
      </x:c>
      <x:c r="L13" s="70" t="str">
        <x:v>-10.0%</x:v>
      </x:c>
      <x:c r="M13" s="70" t="str">
        <x:v>与透镜串联倍率由×6降为×4.995。</x:v>
      </x:c>
    </x:row>
    <x:row r="14" ht="72" hidden="0" customHeight="1">
      <x:c r="A14" s="70" t="str">
        <x:v>装置</x:v>
      </x:c>
      <x:c r="B14" s="71" t="n">
        <x:v>109</x:v>
      </x:c>
      <x:c r="C14" s="70" t="str">
        <x:v>D009</x:v>
      </x:c>
      <x:c r="D14" s="70" t="str">
        <x:v>血穿炮</x:v>
      </x:c>
      <x:c r="E14" s="71" t="n">
        <x:v>24</x:v>
      </x:c>
      <x:c r="F14" s="70" t="str">
        <x:v>储值阈值10</x:v>
      </x:c>
      <x:c r="G14" s="70" t="str">
        <x:v>—</x:v>
      </x:c>
      <x:c r="H14" s="70" t="str">
        <x:v>—</x:v>
      </x:c>
      <x:c r="I14" s="70" t="str">
        <x:v>物理变体待采样</x:v>
      </x:c>
      <x:c r="J14" s="70" t="str">
        <x:v>—</x:v>
      </x:c>
      <x:c r="K14" s="70" t="str">
        <x:v>—</x:v>
      </x:c>
      <x:c r="L14" s="70" t="str">
        <x:v>0%</x:v>
      </x:c>
      <x:c r="M14" s="70" t="str">
        <x:v>本轮保持；等待对应物理变体样本后再调效果。</x:v>
      </x:c>
    </x:row>
    <x:row r="15" ht="72" hidden="0" customHeight="1">
      <x:c r="A15" s="70" t="str">
        <x:v>装置</x:v>
      </x:c>
      <x:c r="B15" s="71" t="n">
        <x:v>110</x:v>
      </x:c>
      <x:c r="C15" s="70" t="str">
        <x:v>D0010</x:v>
      </x:c>
      <x:c r="D15" s="70" t="str">
        <x:v>减速带</x:v>
      </x:c>
      <x:c r="E15" s="71" t="n">
        <x:v>9</x:v>
      </x:c>
      <x:c r="F15" s="70" t="str">
        <x:v>速度×0.7</x:v>
      </x:c>
      <x:c r="G15" s="70" t="str">
        <x:v>—</x:v>
      </x:c>
      <x:c r="H15" s="70" t="str">
        <x:v>—</x:v>
      </x:c>
      <x:c r="I15" s="70" t="str">
        <x:v>物理变体待采样</x:v>
      </x:c>
      <x:c r="J15" s="70" t="str">
        <x:v>—</x:v>
      </x:c>
      <x:c r="K15" s="70" t="str">
        <x:v>—</x:v>
      </x:c>
      <x:c r="L15" s="70" t="str">
        <x:v>0%</x:v>
      </x:c>
      <x:c r="M15" s="70" t="str">
        <x:v>本轮保持；等待对应物理变体样本后再调效果。</x:v>
      </x:c>
    </x:row>
    <x:row r="16" ht="72" hidden="0" customHeight="1">
      <x:c r="A16" s="70" t="str">
        <x:v>装置</x:v>
      </x:c>
      <x:c r="B16" s="71" t="n">
        <x:v>111</x:v>
      </x:c>
      <x:c r="C16" s="70" t="str">
        <x:v>D0011</x:v>
      </x:c>
      <x:c r="D16" s="70" t="str">
        <x:v>复活吧我的爱人</x:v>
      </x:c>
      <x:c r="E16" s="71" t="n">
        <x:v>56</x:v>
      </x:c>
      <x:c r="F16" s="70" t="str">
        <x:v>返还原始血耗（家族去重）</x:v>
      </x:c>
      <x:c r="G16" s="70" t="str">
        <x:v>—</x:v>
      </x:c>
      <x:c r="H16" s="70" t="str">
        <x:v>—</x:v>
      </x:c>
      <x:c r="I16" s="70" t="str">
        <x:v>Hybrid已建模</x:v>
      </x:c>
      <x:c r="J16" s="70" t="str">
        <x:v>—</x:v>
      </x:c>
      <x:c r="K16" s="70" t="str">
        <x:v>—</x:v>
      </x:c>
      <x:c r="L16" s="70" t="str">
        <x:v>0%</x:v>
      </x:c>
      <x:c r="M16" s="70" t="str">
        <x:v>本轮保持；等待对应物理变体样本后再调效果。</x:v>
      </x:c>
    </x:row>
    <x:row r="17" ht="72" hidden="0" customHeight="1">
      <x:c r="A17" s="70" t="str">
        <x:v>装置</x:v>
      </x:c>
      <x:c r="B17" s="71" t="n">
        <x:v>112</x:v>
      </x:c>
      <x:c r="C17" s="70" t="str">
        <x:v>D0012</x:v>
      </x:c>
      <x:c r="D17" s="70" t="str">
        <x:v>磁磁磁</x:v>
      </x:c>
      <x:c r="E17" s="71" t="n">
        <x:v>24</x:v>
      </x:c>
      <x:c r="F17" s="70" t="str">
        <x:v>磁场半径20cm</x:v>
      </x:c>
      <x:c r="G17" s="70" t="str">
        <x:v>—</x:v>
      </x:c>
      <x:c r="H17" s="70" t="str">
        <x:v>—</x:v>
      </x:c>
      <x:c r="I17" s="70" t="str">
        <x:v>物理变体待采样</x:v>
      </x:c>
      <x:c r="J17" s="70" t="str">
        <x:v>—</x:v>
      </x:c>
      <x:c r="K17" s="70" t="str">
        <x:v>—</x:v>
      </x:c>
      <x:c r="L17" s="70" t="str">
        <x:v>0%</x:v>
      </x:c>
      <x:c r="M17" s="70" t="str">
        <x:v>本轮保持；等待对应物理变体样本后再调效果。</x:v>
      </x:c>
    </x:row>
    <x:row r="18" ht="36" hidden="0" customHeight="1">
      <x:c r="A18" s="70" t="str">
        <x:v>装置</x:v>
      </x:c>
      <x:c r="B18" s="71" t="n">
        <x:v>113</x:v>
      </x:c>
      <x:c r="C18" s="70" t="str">
        <x:v>LEGACY_DEVICE_1</x:v>
      </x:c>
      <x:c r="D18" s="70" t="str">
        <x:v>Multi Ding</x:v>
      </x:c>
      <x:c r="E18" s="71" t="n">
        <x:v>27</x:v>
      </x:c>
      <x:c r="F18" s="70" t="str">
        <x:v>得分倍率×1.85</x:v>
      </x:c>
      <x:c r="G18" s="70" t="str">
        <x:v>—</x:v>
      </x:c>
      <x:c r="H18" s="70" t="str">
        <x:v>—</x:v>
      </x:c>
      <x:c r="I18" s="70" t="str">
        <x:v>Hybrid已建模</x:v>
      </x:c>
      <x:c r="J18" s="70" t="str">
        <x:v>得分×2.00</x:v>
      </x:c>
      <x:c r="K18" s="70" t="str">
        <x:v>得分×1.85</x:v>
      </x:c>
      <x:c r="L18" s="70" t="str">
        <x:v>-7.5%</x:v>
      </x:c>
      <x:c r="M18" s="70" t="str">
        <x:v>降低多实例乘法触顶速度。</x:v>
      </x:c>
    </x:row>
    <x:row r="19" ht="36" hidden="0" customHeight="1">
      <x:c r="A19" s="70" t="str">
        <x:v>装置</x:v>
      </x:c>
      <x:c r="B19" s="71" t="n">
        <x:v>114</x:v>
      </x:c>
      <x:c r="C19" s="70" t="str">
        <x:v>LEGACY_DEVICE_2</x:v>
      </x:c>
      <x:c r="D19" s="70" t="str">
        <x:v>Rush Ding</x:v>
      </x:c>
      <x:c r="E19" s="71" t="n">
        <x:v>20</x:v>
      </x:c>
      <x:c r="F19" s="70" t="str">
        <x:v>RUSH概率+11pp</x:v>
      </x:c>
      <x:c r="G19" s="70" t="str">
        <x:v>—</x:v>
      </x:c>
      <x:c r="H19" s="70" t="str">
        <x:v>—</x:v>
      </x:c>
      <x:c r="I19" s="70" t="str">
        <x:v>Hybrid已建模</x:v>
      </x:c>
      <x:c r="J19" s="70" t="str">
        <x:v>RUSH+12pp</x:v>
      </x:c>
      <x:c r="K19" s="70" t="str">
        <x:v>RUSH+11pp</x:v>
      </x:c>
      <x:c r="L19" s="70" t="str">
        <x:v>-8.3%</x:v>
      </x:c>
      <x:c r="M19" s="70" t="str">
        <x:v>小幅压低无条件概率叠加。</x:v>
      </x:c>
    </x:row>
    <x:row r="20" ht="72" hidden="0" customHeight="1">
      <x:c r="A20" s="70" t="str">
        <x:v>药物</x:v>
      </x:c>
      <x:c r="B20" s="71" t="n">
        <x:v>100</x:v>
      </x:c>
      <x:c r="C20" s="70" t="str">
        <x:v>M001</x:v>
      </x:c>
      <x:c r="D20" s="70" t="str">
        <x:v>肾上腺素</x:v>
      </x:c>
      <x:c r="E20" s="71" t="n">
        <x:v>21</x:v>
      </x:c>
      <x:c r="F20" s="70" t="str">
        <x:v>RUSH+23pp；属性[0:1:1.15]</x:v>
      </x:c>
      <x:c r="G20" s="70" t="n">
        <x:v>6</x:v>
      </x:c>
      <x:c r="H20" s="70" t="str">
        <x:v>否</x:v>
      </x:c>
      <x:c r="I20" s="70" t="str">
        <x:v>Hybrid已建模</x:v>
      </x:c>
      <x:c r="J20" s="70" t="str">
        <x:v>价格24；RUSH+25pp</x:v>
      </x:c>
      <x:c r="K20" s="70" t="str">
        <x:v>价格21；RUSH+23pp</x:v>
      </x:c>
      <x:c r="L20" s="70" t="str">
        <x:v>价格-12.5%；效果-8.0%</x:v>
      </x:c>
      <x:c r="M20" s="70" t="str">
        <x:v>降低爆发并降价，维持与其他Rush药的选择竞争。</x:v>
      </x:c>
    </x:row>
    <x:row r="21" ht="48" hidden="0" customHeight="1">
      <x:c r="A21" s="70" t="str">
        <x:v>药物</x:v>
      </x:c>
      <x:c r="B21" s="71" t="n">
        <x:v>101</x:v>
      </x:c>
      <x:c r="C21" s="70" t="str">
        <x:v>M002</x:v>
      </x:c>
      <x:c r="D21" s="70" t="str">
        <x:v>烧烧果实</x:v>
      </x:c>
      <x:c r="E21" s="71" t="n">
        <x:v>22</x:v>
      </x:c>
      <x:c r="F21" s="70" t="str">
        <x:v>RUSH得分×1.68；属性[3:1:0.9]</x:v>
      </x:c>
      <x:c r="G21" s="70" t="n">
        <x:v>6</x:v>
      </x:c>
      <x:c r="H21" s="70" t="str">
        <x:v>否</x:v>
      </x:c>
      <x:c r="I21" s="70" t="str">
        <x:v>Hybrid已建模</x:v>
      </x:c>
      <x:c r="J21" s="70" t="str">
        <x:v>价格24；RUSH×1.75</x:v>
      </x:c>
      <x:c r="K21" s="70" t="str">
        <x:v>价格22；RUSH×1.68</x:v>
      </x:c>
      <x:c r="L21" s="70" t="str">
        <x:v>价格-8.3%；增量-9.3%</x:v>
      </x:c>
      <x:c r="M21" s="70" t="str">
        <x:v>压低峰值但保留高时机收益。</x:v>
      </x:c>
    </x:row>
    <x:row r="22" ht="60" hidden="0" customHeight="1">
      <x:c r="A22" s="70" t="str">
        <x:v>药物</x:v>
      </x:c>
      <x:c r="B22" s="71" t="n">
        <x:v>102</x:v>
      </x:c>
      <x:c r="C22" s="70" t="str">
        <x:v>M003</x:v>
      </x:c>
      <x:c r="D22" s="70" t="str">
        <x:v>延长药剂</x:v>
      </x:c>
      <x:c r="E22" s="71" t="n">
        <x:v>12</x:v>
      </x:c>
      <x:c r="F22" s="70" t="str">
        <x:v>属性[0:1:1.15；22:1:1.45]</x:v>
      </x:c>
      <x:c r="G22" s="70" t="n">
        <x:v>6</x:v>
      </x:c>
      <x:c r="H22" s="70" t="str">
        <x:v>否</x:v>
      </x:c>
      <x:c r="I22" s="70" t="str">
        <x:v>Hybrid已建模</x:v>
      </x:c>
      <x:c r="J22" s="70" t="str">
        <x:v>价格15；时长×1.50</x:v>
      </x:c>
      <x:c r="K22" s="70" t="str">
        <x:v>价格12；时长×1.45</x:v>
      </x:c>
      <x:c r="L22" s="70" t="str">
        <x:v>价格-20.0%；增量-10.0%</x:v>
      </x:c>
      <x:c r="M22" s="70" t="str">
        <x:v>削弱单次覆盖、降价维持辅助路线可选。</x:v>
      </x:c>
    </x:row>
    <x:row r="23" ht="72" hidden="0" customHeight="1">
      <x:c r="A23" s="70" t="str">
        <x:v>药物</x:v>
      </x:c>
      <x:c r="B23" s="71" t="n">
        <x:v>103</x:v>
      </x:c>
      <x:c r="C23" s="70" t="str">
        <x:v>M004</x:v>
      </x:c>
      <x:c r="D23" s="70" t="str">
        <x:v>润流剂</x:v>
      </x:c>
      <x:c r="E23" s="71" t="n">
        <x:v>9</x:v>
      </x:c>
      <x:c r="F23" s="70" t="str">
        <x:v>属性[3:1:0.9；9:1:0.6；8:0:0.1]</x:v>
      </x:c>
      <x:c r="G23" s="70" t="n">
        <x:v>10</x:v>
      </x:c>
      <x:c r="H23" s="70" t="str">
        <x:v>否</x:v>
      </x:c>
      <x:c r="I23" s="70" t="str">
        <x:v>物理变体待采样</x:v>
      </x:c>
      <x:c r="J23" s="70" t="str">
        <x:v>—</x:v>
      </x:c>
      <x:c r="K23" s="70" t="str">
        <x:v>—</x:v>
      </x:c>
      <x:c r="L23" s="70" t="str">
        <x:v>0%</x:v>
      </x:c>
      <x:c r="M23" s="70" t="str">
        <x:v>本轮保持；等待对应物理变体样本后再调效果。</x:v>
      </x:c>
    </x:row>
    <x:row r="24" ht="72" hidden="0" customHeight="1">
      <x:c r="A24" s="70" t="str">
        <x:v>药物</x:v>
      </x:c>
      <x:c r="B24" s="71" t="n">
        <x:v>104</x:v>
      </x:c>
      <x:c r="C24" s="70" t="str">
        <x:v>M006</x:v>
      </x:c>
      <x:c r="D24" s="70" t="str">
        <x:v>凝血剂</x:v>
      </x:c>
      <x:c r="E24" s="71" t="n">
        <x:v>24</x:v>
      </x:c>
      <x:c r="F24" s="70" t="str">
        <x:v>体积×1.5；属性[0:1:1.2；3:1:1.3]</x:v>
      </x:c>
      <x:c r="G24" s="70" t="n">
        <x:v>10</x:v>
      </x:c>
      <x:c r="H24" s="70" t="str">
        <x:v>否</x:v>
      </x:c>
      <x:c r="I24" s="70" t="str">
        <x:v>物理变体待采样</x:v>
      </x:c>
      <x:c r="J24" s="70" t="str">
        <x:v>—</x:v>
      </x:c>
      <x:c r="K24" s="70" t="str">
        <x:v>—</x:v>
      </x:c>
      <x:c r="L24" s="70" t="str">
        <x:v>0%</x:v>
      </x:c>
      <x:c r="M24" s="70" t="str">
        <x:v>本轮保持；等待对应物理变体样本后再调效果。</x:v>
      </x:c>
    </x:row>
    <x:row r="25" ht="72" hidden="0" customHeight="1">
      <x:c r="A25" s="70" t="str">
        <x:v>药物</x:v>
      </x:c>
      <x:c r="B25" s="71" t="n">
        <x:v>105</x:v>
      </x:c>
      <x:c r="C25" s="70" t="str">
        <x:v>M007</x:v>
      </x:c>
      <x:c r="D25" s="70" t="str">
        <x:v>摇头丸</x:v>
      </x:c>
      <x:c r="E25" s="71" t="n">
        <x:v>15</x:v>
      </x:c>
      <x:c r="F25" s="70" t="str">
        <x:v>属性[0:1:1.2；3:1:1.3；8:0:3]</x:v>
      </x:c>
      <x:c r="G25" s="70" t="n">
        <x:v>10</x:v>
      </x:c>
      <x:c r="H25" s="70" t="str">
        <x:v>是</x:v>
      </x:c>
      <x:c r="I25" s="70" t="str">
        <x:v>物理变体待采样</x:v>
      </x:c>
      <x:c r="J25" s="70" t="str">
        <x:v>—</x:v>
      </x:c>
      <x:c r="K25" s="70" t="str">
        <x:v>—</x:v>
      </x:c>
      <x:c r="L25" s="70" t="str">
        <x:v>0%</x:v>
      </x:c>
      <x:c r="M25" s="70" t="str">
        <x:v>本轮保持；等待对应物理变体样本后再调效果。</x:v>
      </x:c>
    </x:row>
    <x:row r="26" ht="72" hidden="0" customHeight="1">
      <x:c r="A26" s="70" t="str">
        <x:v>药物</x:v>
      </x:c>
      <x:c r="B26" s="71" t="n">
        <x:v>106</x:v>
      </x:c>
      <x:c r="C26" s="70" t="str">
        <x:v>M008</x:v>
      </x:c>
      <x:c r="D26" s="70" t="str">
        <x:v>稀血剂</x:v>
      </x:c>
      <x:c r="E26" s="71" t="n">
        <x:v>24</x:v>
      </x:c>
      <x:c r="F26" s="70" t="str">
        <x:v>属性[0:1:1.2；3:1:1.3]</x:v>
      </x:c>
      <x:c r="G26" s="70" t="n">
        <x:v>10</x:v>
      </x:c>
      <x:c r="H26" s="70" t="str">
        <x:v>是</x:v>
      </x:c>
      <x:c r="I26" s="70" t="str">
        <x:v>物理变体待采样</x:v>
      </x:c>
      <x:c r="J26" s="70" t="str">
        <x:v>—</x:v>
      </x:c>
      <x:c r="K26" s="70" t="str">
        <x:v>—</x:v>
      </x:c>
      <x:c r="L26" s="70" t="str">
        <x:v>0%</x:v>
      </x:c>
      <x:c r="M26" s="70" t="str">
        <x:v>本轮保持；等待对应物理变体样本后再调效果。</x:v>
      </x:c>
    </x:row>
    <x:row r="27" ht="60" hidden="0" customHeight="1">
      <x:c r="A27" s="70" t="str">
        <x:v>药物</x:v>
      </x:c>
      <x:c r="B27" s="71" t="n">
        <x:v>107</x:v>
      </x:c>
      <x:c r="C27" s="70" t="str">
        <x:v>M009</x:v>
      </x:c>
      <x:c r="D27" s="70" t="str">
        <x:v>无限增值</x:v>
      </x:c>
      <x:c r="E27" s="71" t="n">
        <x:v>61</x:v>
      </x:c>
      <x:c r="F27" s="70" t="str">
        <x:v>体积×1.5；属性[0:1:2]</x:v>
      </x:c>
      <x:c r="G27" s="70" t="n">
        <x:v>6</x:v>
      </x:c>
      <x:c r="H27" s="70" t="str">
        <x:v>否</x:v>
      </x:c>
      <x:c r="I27" s="70" t="str">
        <x:v>规则安全修复</x:v>
      </x:c>
      <x:c r="J27" s="70" t="str">
        <x:v>10秒；可叠加；递归不限代</x:v>
      </x:c>
      <x:c r="K27" s="70" t="str">
        <x:v>6秒；不叠加；最多2代</x:v>
      </x:c>
      <x:c r="L27" s="70" t="str">
        <x:v>窗口-40%；上限新增</x:v>
      </x:c>
      <x:c r="M27" s="70" t="str">
        <x:v>修复2^n球数爆炸，单颗原球最多扩展至4球。</x:v>
      </x:c>
    </x:row>
    <x:row r="28" ht="72" hidden="0" customHeight="1">
      <x:c r="A28" s="70" t="str">
        <x:v>药物</x:v>
      </x:c>
      <x:c r="B28" s="71" t="n">
        <x:v>108</x:v>
      </x:c>
      <x:c r="C28" s="70" t="str">
        <x:v>M0010</x:v>
      </x:c>
      <x:c r="D28" s="70" t="str">
        <x:v>磁堕</x:v>
      </x:c>
      <x:c r="E28" s="71" t="n">
        <x:v>24</x:v>
      </x:c>
      <x:c r="F28" s="70" t="str">
        <x:v>属性[0:1:1.2；3:1:1.1]</x:v>
      </x:c>
      <x:c r="G28" s="70" t="n">
        <x:v>10</x:v>
      </x:c>
      <x:c r="H28" s="70" t="str">
        <x:v>是</x:v>
      </x:c>
      <x:c r="I28" s="70" t="str">
        <x:v>物理变体待采样</x:v>
      </x:c>
      <x:c r="J28" s="70" t="str">
        <x:v>—</x:v>
      </x:c>
      <x:c r="K28" s="70" t="str">
        <x:v>—</x:v>
      </x:c>
      <x:c r="L28" s="70" t="str">
        <x:v>0%</x:v>
      </x:c>
      <x:c r="M28" s="70" t="str">
        <x:v>本轮保持；等待对应物理变体样本后再调效果。</x:v>
      </x:c>
    </x:row>
    <x:row r="29" ht="72" hidden="0" customHeight="1">
      <x:c r="A29" s="70" t="str">
        <x:v>药物</x:v>
      </x:c>
      <x:c r="B29" s="71" t="n">
        <x:v>109</x:v>
      </x:c>
      <x:c r="C29" s="70" t="str">
        <x:v>M006</x:v>
      </x:c>
      <x:c r="D29" s="70" t="str">
        <x:v>定向试剂（补全名）</x:v>
      </x:c>
      <x:c r="E29" s="71" t="n">
        <x:v>9</x:v>
      </x:c>
      <x:c r="F29" s="70" t="str">
        <x:v>属性[3:1:0.9]</x:v>
      </x:c>
      <x:c r="G29" s="70" t="n">
        <x:v>20</x:v>
      </x:c>
      <x:c r="H29" s="70" t="str">
        <x:v>否</x:v>
      </x:c>
      <x:c r="I29" s="70" t="str">
        <x:v>物理变体待采样</x:v>
      </x:c>
      <x:c r="J29" s="70" t="str">
        <x:v>—</x:v>
      </x:c>
      <x:c r="K29" s="70" t="str">
        <x:v>—</x:v>
      </x:c>
      <x:c r="L29" s="70" t="str">
        <x:v>0%</x:v>
      </x:c>
      <x:c r="M29" s="70" t="str">
        <x:v>本轮保持；等待对应物理变体样本后再调效果。</x:v>
      </x:c>
    </x:row>
    <x:row r="30" ht="84" hidden="0" customHeight="1">
      <x:c r="A30" s="70" t="str">
        <x:v>药物</x:v>
      </x:c>
      <x:c r="B30" s="71" t="n">
        <x:v>1</x:v>
      </x:c>
      <x:c r="C30" s="70" t="str">
        <x:v>LEGACY_DRUG_1</x:v>
      </x:c>
      <x:c r="D30" s="70" t="str">
        <x:v>Up Restitution</x:v>
      </x:c>
      <x:c r="E30" s="71" t="n">
        <x:v>9</x:v>
      </x:c>
      <x:c r="F30" s="70" t="str">
        <x:v>有效时间内新发射球的弹性 ×1.5；每次使用独立计时并叠加。</x:v>
      </x:c>
      <x:c r="G30" s="70" t="n">
        <x:v>12</x:v>
      </x:c>
      <x:c r="H30" s="70" t="str">
        <x:v>是</x:v>
      </x:c>
      <x:c r="I30" s="70" t="str">
        <x:v>物理变体待采样</x:v>
      </x:c>
      <x:c r="J30" s="70" t="str">
        <x:v>—</x:v>
      </x:c>
      <x:c r="K30" s="70" t="str">
        <x:v>—</x:v>
      </x:c>
      <x:c r="L30" s="70" t="str">
        <x:v>0%</x:v>
      </x:c>
      <x:c r="M30" s="70" t="str">
        <x:v>本轮保持；等待对应物理变体样本后再调效果。</x:v>
      </x:c>
    </x:row>
    <x:row r="31" ht="84" hidden="0" customHeight="1">
      <x:c r="A31" s="70" t="str">
        <x:v>药物</x:v>
      </x:c>
      <x:c r="B31" s="71" t="n">
        <x:v>2</x:v>
      </x:c>
      <x:c r="C31" s="70" t="str">
        <x:v>LEGACY_DRUG_2</x:v>
      </x:c>
      <x:c r="D31" s="70" t="str">
        <x:v>Down Restitution</x:v>
      </x:c>
      <x:c r="E31" s="71" t="n">
        <x:v>7</x:v>
      </x:c>
      <x:c r="F31" s="70" t="str">
        <x:v>有效时间内新发射球的弹性 ×0.65；每次使用独立计时并叠加。</x:v>
      </x:c>
      <x:c r="G31" s="70" t="n">
        <x:v>12</x:v>
      </x:c>
      <x:c r="H31" s="70" t="str">
        <x:v>是</x:v>
      </x:c>
      <x:c r="I31" s="70" t="str">
        <x:v>物理变体待采样</x:v>
      </x:c>
      <x:c r="J31" s="70" t="str">
        <x:v>—</x:v>
      </x:c>
      <x:c r="K31" s="70" t="str">
        <x:v>—</x:v>
      </x:c>
      <x:c r="L31" s="70" t="str">
        <x:v>0%</x:v>
      </x:c>
      <x:c r="M31" s="70" t="str">
        <x:v>本轮保持；等待对应物理变体样本后再调效果。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326dd2eeb23541f4"/>
  </x:tableParts>
</x:worksheet>
</file>